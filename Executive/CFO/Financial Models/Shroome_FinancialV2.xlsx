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Optimistic Model" sheetId="2" state="visible" r:id="rId2"/>
    <sheet xmlns:r="http://schemas.openxmlformats.org/officeDocument/2006/relationships" name="Scenarios" sheetId="3" state="visible" r:id="rId3"/>
    <sheet xmlns:r="http://schemas.openxmlformats.org/officeDocument/2006/relationships" name="Pre-Launch Plan" sheetId="4" state="visible" r:id="rId4"/>
    <sheet xmlns:r="http://schemas.openxmlformats.org/officeDocument/2006/relationships" name="Risks &amp; Lever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"/>
    <numFmt numFmtId="165" formatCode="$#,##0"/>
    <numFmt numFmtId="166" formatCode="$#,##0;($#,##0)"/>
    <numFmt numFmtId="167" formatCode="0.0%"/>
    <numFmt numFmtId="168" formatCode="$#,##0.00"/>
  </numFmts>
  <fonts count="13">
    <font>
      <name val="Calibri"/>
      <family val="2"/>
      <color theme="1"/>
      <sz val="11"/>
      <scheme val="minor"/>
    </font>
    <font>
      <name val="Arial"/>
      <b val="1"/>
      <color rgb="001B1F3B"/>
      <sz val="14"/>
    </font>
    <font>
      <name val="Arial"/>
      <i val="1"/>
      <color rgb="00666666"/>
      <sz val="10"/>
    </font>
    <font>
      <name val="Arial"/>
      <b val="1"/>
      <color rgb="001B1F3B"/>
      <sz val="11"/>
    </font>
    <font>
      <name val="Arial"/>
      <b val="1"/>
      <color rgb="00000000"/>
      <sz val="10"/>
    </font>
    <font>
      <name val="Arial"/>
      <color rgb="000000FF"/>
      <sz val="10"/>
    </font>
    <font>
      <name val="Arial"/>
      <b val="1"/>
      <color rgb="00FFFFFF"/>
      <sz val="10"/>
    </font>
    <font>
      <name val="Arial"/>
      <color rgb="00000000"/>
      <sz val="10"/>
    </font>
    <font>
      <name val="Arial"/>
      <b val="1"/>
      <color rgb="00CC0000"/>
      <sz val="10"/>
    </font>
    <font>
      <name val="Arial"/>
      <b val="1"/>
      <color rgb="00008000"/>
      <sz val="10"/>
    </font>
    <font>
      <name val="Arial"/>
      <i val="1"/>
      <color rgb="00666666"/>
      <sz val="9"/>
    </font>
    <font>
      <name val="Arial"/>
      <color rgb="00333333"/>
      <sz val="9"/>
    </font>
    <font>
      <name val="Arial"/>
      <b val="1"/>
      <color rgb="00FF8C00"/>
      <sz val="10"/>
    </font>
  </fonts>
  <fills count="9">
    <fill>
      <patternFill/>
    </fill>
    <fill>
      <patternFill patternType="gray125"/>
    </fill>
    <fill>
      <patternFill patternType="solid">
        <fgColor rgb="00C8FF3A"/>
      </patternFill>
    </fill>
    <fill>
      <patternFill patternType="solid">
        <fgColor rgb="001B1F3B"/>
      </patternFill>
    </fill>
    <fill>
      <patternFill patternType="solid">
        <fgColor rgb="00FFFF00"/>
      </patternFill>
    </fill>
    <fill>
      <patternFill patternType="solid">
        <fgColor rgb="00E2EFDA"/>
      </patternFill>
    </fill>
    <fill>
      <patternFill patternType="solid">
        <fgColor rgb="00FCE4EC"/>
      </patternFill>
    </fill>
    <fill>
      <patternFill patternType="solid">
        <fgColor rgb="00D6E4F0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1" pivotButton="0" quotePrefix="0" xfId="0"/>
    <xf numFmtId="0" fontId="5" fillId="0" borderId="1" pivotButton="0" quotePrefix="0" xfId="0"/>
    <xf numFmtId="0" fontId="6" fillId="3" borderId="1" applyAlignment="1" pivotButton="0" quotePrefix="0" xfId="0">
      <alignment horizontal="center"/>
    </xf>
    <xf numFmtId="0" fontId="5" fillId="4" borderId="1" pivotButton="0" quotePrefix="0" xfId="0"/>
    <xf numFmtId="3" fontId="5" fillId="4" borderId="1" pivotButton="0" quotePrefix="0" xfId="0"/>
    <xf numFmtId="0" fontId="7" fillId="0" borderId="1" pivotButton="0" quotePrefix="0" xfId="0"/>
    <xf numFmtId="3" fontId="7" fillId="0" borderId="1" pivotButton="0" quotePrefix="0" xfId="0"/>
    <xf numFmtId="0" fontId="4" fillId="5" borderId="1" pivotButton="0" quotePrefix="0" xfId="0"/>
    <xf numFmtId="3" fontId="4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4" fillId="0" borderId="1" pivotButton="0" quotePrefix="0" xfId="0"/>
    <xf numFmtId="166" fontId="7" fillId="0" borderId="1" pivotButton="0" quotePrefix="0" xfId="0"/>
    <xf numFmtId="166" fontId="4" fillId="0" borderId="1" pivotButton="0" quotePrefix="0" xfId="0"/>
    <xf numFmtId="167" fontId="7" fillId="0" borderId="1" pivotButton="0" quotePrefix="0" xfId="0"/>
    <xf numFmtId="166" fontId="5" fillId="4" borderId="1" pivotButton="0" quotePrefix="0" xfId="0"/>
    <xf numFmtId="0" fontId="4" fillId="6" borderId="1" pivotButton="0" quotePrefix="0" xfId="0"/>
    <xf numFmtId="0" fontId="8" fillId="6" borderId="1" pivotButton="0" quotePrefix="0" xfId="0"/>
    <xf numFmtId="165" fontId="8" fillId="6" borderId="1" pivotButton="0" quotePrefix="0" xfId="0"/>
    <xf numFmtId="0" fontId="4" fillId="7" borderId="1" pivotButton="0" quotePrefix="0" xfId="0"/>
    <xf numFmtId="0" fontId="9" fillId="0" borderId="1" pivotButton="0" quotePrefix="0" xfId="0"/>
    <xf numFmtId="165" fontId="9" fillId="0" borderId="1" pivotButton="0" quotePrefix="0" xfId="0"/>
    <xf numFmtId="0" fontId="1" fillId="2" borderId="0" pivotButton="0" quotePrefix="0" xfId="0"/>
    <xf numFmtId="0" fontId="9" fillId="2" borderId="1" pivotButton="0" quotePrefix="0" xfId="0"/>
    <xf numFmtId="0" fontId="8" fillId="0" borderId="1" pivotButton="0" quotePrefix="0" xfId="0"/>
    <xf numFmtId="0" fontId="3" fillId="0" borderId="1" pivotButton="0" quotePrefix="0" xfId="0"/>
    <xf numFmtId="0" fontId="10" fillId="0" borderId="0" pivotButton="0" quotePrefix="0" xfId="0"/>
    <xf numFmtId="0" fontId="3" fillId="8" borderId="0" pivotButton="0" quotePrefix="0" xfId="0"/>
    <xf numFmtId="168" fontId="5" fillId="4" borderId="1" pivotButton="0" quotePrefix="0" xfId="0"/>
    <xf numFmtId="168" fontId="7" fillId="0" borderId="1" pivotButton="0" quotePrefix="0" xfId="0"/>
    <xf numFmtId="165" fontId="5" fillId="4" borderId="1" pivotButton="0" quotePrefix="0" xfId="0"/>
    <xf numFmtId="167" fontId="5" fillId="4" borderId="1" pivotButton="0" quotePrefix="0" xfId="0"/>
    <xf numFmtId="0" fontId="6" fillId="3" borderId="1" pivotButton="0" quotePrefix="0" xfId="0"/>
    <xf numFmtId="0" fontId="7" fillId="5" borderId="1" pivotButton="0" quotePrefix="0" xfId="0"/>
    <xf numFmtId="0" fontId="7" fillId="7" borderId="1" pivotButton="0" quotePrefix="0" xfId="0"/>
    <xf numFmtId="0" fontId="7" fillId="2" borderId="1" pivotButton="0" quotePrefix="0" xfId="0"/>
    <xf numFmtId="0" fontId="3" fillId="6" borderId="0" pivotButton="0" quotePrefix="0" xfId="0"/>
    <xf numFmtId="0" fontId="11" fillId="0" borderId="1" pivotButton="0" quotePrefix="0" xfId="0"/>
    <xf numFmtId="0" fontId="12" fillId="0" borderId="1" pivotButton="0" quotePrefix="0" xfId="0"/>
    <xf numFmtId="0" fontId="3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B1F3B"/>
    <outlinePr summaryBelow="1" summaryRight="1"/>
    <pageSetUpPr/>
  </sheetPr>
  <dimension ref="A1:B45"/>
  <sheetViews>
    <sheetView workbookViewId="0">
      <selection activeCell="A1" sqref="A1"/>
    </sheetView>
  </sheetViews>
  <sheetFormatPr baseColWidth="8" defaultRowHeight="15"/>
  <cols>
    <col width="42" customWidth="1" min="1" max="1"/>
    <col width="16" customWidth="1" min="2" max="2"/>
  </cols>
  <sheetData>
    <row r="1">
      <c r="A1" s="1" t="inlineStr">
        <is>
          <t>SHROOMÉ — KEY ASSUMPTIONS</t>
        </is>
      </c>
    </row>
    <row r="2">
      <c r="A2" s="30" t="inlineStr">
        <is>
          <t>Blue = editable inputs. Black = calculated.</t>
        </is>
      </c>
    </row>
    <row r="4">
      <c r="A4" s="31" t="inlineStr">
        <is>
          <t>PRODUCT</t>
        </is>
      </c>
    </row>
    <row r="5">
      <c r="A5" s="4" t="inlineStr">
        <is>
          <t>Cost per sachet (all-in)</t>
        </is>
      </c>
      <c r="B5" s="32" t="n">
        <v>0.75</v>
      </c>
    </row>
    <row r="6">
      <c r="A6" s="4" t="inlineStr">
        <is>
          <t>Sachets per box</t>
        </is>
      </c>
      <c r="B6" s="8" t="n">
        <v>12</v>
      </c>
    </row>
    <row r="7">
      <c r="A7" s="4" t="inlineStr">
        <is>
          <t>COGS per box</t>
        </is>
      </c>
      <c r="B7" s="33">
        <f>B5*B6</f>
        <v/>
      </c>
    </row>
    <row r="8">
      <c r="A8" s="4" t="inlineStr">
        <is>
          <t>Full retail price per box</t>
        </is>
      </c>
      <c r="B8" s="34" t="n">
        <v>36</v>
      </c>
    </row>
    <row r="9">
      <c r="A9" s="4" t="inlineStr">
        <is>
          <t>Full retail price per serving</t>
        </is>
      </c>
      <c r="B9" s="34" t="n">
        <v>3</v>
      </c>
    </row>
    <row r="10">
      <c r="A10" s="4" t="inlineStr">
        <is>
          <t>Gross margin (full price)</t>
        </is>
      </c>
      <c r="B10" s="18">
        <f>(B8-B7)/B8</f>
        <v/>
      </c>
    </row>
    <row r="11">
      <c r="A11" s="4" t="inlineStr">
        <is>
          <t>MOQ per flavor (sachets)</t>
        </is>
      </c>
      <c r="B11" s="8" t="n">
        <v>15000</v>
      </c>
    </row>
    <row r="12">
      <c r="A12" s="4" t="inlineStr">
        <is>
          <t>MOQ per flavor (boxes)</t>
        </is>
      </c>
      <c r="B12" s="10">
        <f>B11/B6</f>
        <v/>
      </c>
    </row>
    <row r="13">
      <c r="A13" s="4" t="inlineStr">
        <is>
          <t>Launch flavors</t>
        </is>
      </c>
      <c r="B13" s="8" t="n">
        <v>2</v>
      </c>
    </row>
    <row r="14">
      <c r="A14" s="4" t="inlineStr">
        <is>
          <t>Launch inventory (boxes)</t>
        </is>
      </c>
      <c r="B14" s="10">
        <f>B12*B13</f>
        <v/>
      </c>
    </row>
    <row r="19">
      <c r="A19" s="31" t="inlineStr">
        <is>
          <t>DISCOUNT &amp; PRICING</t>
        </is>
      </c>
    </row>
    <row r="20">
      <c r="A20" s="4" t="inlineStr">
        <is>
          <t>Waitlist discount (email)</t>
        </is>
      </c>
      <c r="B20" s="35" t="n">
        <v>0.2</v>
      </c>
    </row>
    <row r="21">
      <c r="A21" s="4" t="inlineStr">
        <is>
          <t>Waitlist discount (phone stackable)</t>
        </is>
      </c>
      <c r="B21" s="35" t="n">
        <v>0.3</v>
      </c>
    </row>
    <row r="22">
      <c r="A22" s="4" t="inlineStr">
        <is>
          <t>Affiliate commission rate</t>
        </is>
      </c>
      <c r="B22" s="35" t="n">
        <v>0.2</v>
      </c>
    </row>
    <row r="23">
      <c r="A23" s="4" t="inlineStr">
        <is>
          <t>Affiliate customer discount</t>
        </is>
      </c>
      <c r="B23" s="35" t="n">
        <v>0.1</v>
      </c>
    </row>
    <row r="24">
      <c r="A24" s="4" t="inlineStr">
        <is>
          <t>Email promo avg discount</t>
        </is>
      </c>
      <c r="B24" s="35" t="n">
        <v>0.15</v>
      </c>
    </row>
    <row r="25">
      <c r="A25" s="4" t="inlineStr">
        <is>
          <t>Free shipping cost (avg)</t>
        </is>
      </c>
      <c r="B25" s="34" t="n">
        <v>5</v>
      </c>
    </row>
    <row r="26">
      <c r="A26" s="4" t="inlineStr">
        <is>
          <t>Blended avg discount</t>
        </is>
      </c>
      <c r="B26" s="35" t="n">
        <v>0.18</v>
      </c>
    </row>
    <row r="27">
      <c r="A27" s="4" t="inlineStr">
        <is>
          <t>Net revenue per box (after discount)</t>
        </is>
      </c>
      <c r="B27" s="33">
        <f>B8*(1-B26)</f>
        <v/>
      </c>
    </row>
    <row r="28">
      <c r="A28" s="4" t="inlineStr">
        <is>
          <t>Net rev after commissions (~40% affiliate)</t>
        </is>
      </c>
      <c r="B28" s="33">
        <f>B27-B27*0.4*B22</f>
        <v/>
      </c>
    </row>
    <row r="29">
      <c r="A29" s="4" t="inlineStr">
        <is>
          <t>COGS per box (incl shipping)</t>
        </is>
      </c>
      <c r="B29" s="33">
        <f>B7+B25</f>
        <v/>
      </c>
    </row>
    <row r="30">
      <c r="A30" s="4" t="inlineStr">
        <is>
          <t>Contribution margin per box</t>
        </is>
      </c>
      <c r="B30" s="33">
        <f>B28-B29</f>
        <v/>
      </c>
    </row>
    <row r="31">
      <c r="A31" s="4" t="inlineStr">
        <is>
          <t>Contribution margin %</t>
        </is>
      </c>
      <c r="B31" s="18">
        <f>B30/B28</f>
        <v/>
      </c>
    </row>
    <row r="33">
      <c r="A33" s="31" t="inlineStr">
        <is>
          <t>GROWTH &amp; CAPITAL</t>
        </is>
      </c>
    </row>
    <row r="34">
      <c r="A34" s="4" t="inlineStr">
        <is>
          <t>Initial founder capital</t>
        </is>
      </c>
      <c r="B34" s="34" t="n">
        <v>50000</v>
      </c>
    </row>
    <row r="35">
      <c r="A35" s="4" t="inlineStr">
        <is>
          <t>Max debt facility</t>
        </is>
      </c>
      <c r="B35" s="34" t="n">
        <v>300000</v>
      </c>
    </row>
    <row r="36">
      <c r="A36" s="4" t="inlineStr">
        <is>
          <t>Debt interest rate (annual)</t>
        </is>
      </c>
      <c r="B36" s="35" t="n">
        <v>0.09</v>
      </c>
    </row>
    <row r="37">
      <c r="A37" s="4" t="inlineStr">
        <is>
          <t>CAC Month 1</t>
        </is>
      </c>
      <c r="B37" s="34" t="n">
        <v>20</v>
      </c>
    </row>
    <row r="38">
      <c r="A38" s="4" t="inlineStr">
        <is>
          <t>CAC at scale (M18+)</t>
        </is>
      </c>
      <c r="B38" s="34" t="n">
        <v>8</v>
      </c>
    </row>
    <row r="39">
      <c r="A39" s="4" t="inlineStr">
        <is>
          <t>Repeat purchase rate (target M12)</t>
        </is>
      </c>
      <c r="B39" s="35" t="n">
        <v>0.35</v>
      </c>
    </row>
    <row r="40">
      <c r="A40" s="4" t="inlineStr">
        <is>
          <t>Subscription conversion rate</t>
        </is>
      </c>
      <c r="B40" s="35" t="n">
        <v>0.15</v>
      </c>
    </row>
    <row r="42">
      <c r="A42" s="31" t="inlineStr">
        <is>
          <t>INVENTORY</t>
        </is>
      </c>
    </row>
    <row r="43">
      <c r="A43" s="4" t="inlineStr">
        <is>
          <t>Production lead time (weeks)</t>
        </is>
      </c>
      <c r="B43" s="8" t="n">
        <v>6</v>
      </c>
    </row>
    <row r="44">
      <c r="A44" s="4" t="inlineStr">
        <is>
          <t>Safety stock (weeks)</t>
        </is>
      </c>
      <c r="B44" s="8" t="n">
        <v>3</v>
      </c>
    </row>
    <row r="45">
      <c r="A45" s="4" t="inlineStr">
        <is>
          <t>Reorder qty (boxes per flavor)</t>
        </is>
      </c>
      <c r="B45" s="10">
        <f>B12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C8FF3A"/>
    <outlinePr summaryBelow="1" summaryRight="1"/>
    <pageSetUpPr/>
  </sheetPr>
  <dimension ref="A1:Y91"/>
  <sheetViews>
    <sheetView workbookViewId="0">
      <selection activeCell="A1" sqref="A1"/>
    </sheetView>
  </sheetViews>
  <sheetFormatPr baseColWidth="8" defaultRowHeight="15"/>
  <cols>
    <col width="4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</cols>
  <sheetData>
    <row r="1">
      <c r="A1" s="1" t="inlineStr">
        <is>
          <t>SHROOMÉ — OPTIMISTIC HIGH-BAR TARGET</t>
        </is>
      </c>
    </row>
    <row r="2">
      <c r="A2" s="2" t="inlineStr">
        <is>
          <t>$50K Capital + $300K Max Debt | Most Aggressive Realistic Scenario</t>
        </is>
      </c>
    </row>
    <row r="4">
      <c r="A4" s="3" t="inlineStr">
        <is>
          <t>ASSUMPTIONS</t>
        </is>
      </c>
    </row>
    <row r="5">
      <c r="A5" s="4" t="inlineStr">
        <is>
          <t>Starting capital</t>
        </is>
      </c>
      <c r="B5" s="5" t="inlineStr">
        <is>
          <t>$50,000</t>
        </is>
      </c>
    </row>
    <row r="6">
      <c r="A6" s="4" t="inlineStr">
        <is>
          <t>Max total debt</t>
        </is>
      </c>
      <c r="B6" s="5" t="inlineStr">
        <is>
          <t>$300,000 (additional)</t>
        </is>
      </c>
    </row>
    <row r="7">
      <c r="A7" s="4" t="inlineStr">
        <is>
          <t>Debt interest rate</t>
        </is>
      </c>
      <c r="B7" s="5" t="inlineStr">
        <is>
          <t>9% annual (0.75%/mo)</t>
        </is>
      </c>
    </row>
    <row r="8">
      <c r="A8" s="4" t="inlineStr">
        <is>
          <t>COGS per box (product $9 + shipping $5)</t>
        </is>
      </c>
      <c r="B8" s="5" t="inlineStr">
        <is>
          <t>$14</t>
        </is>
      </c>
    </row>
    <row r="9">
      <c r="A9" s="4" t="inlineStr">
        <is>
          <t>Full retail per box</t>
        </is>
      </c>
      <c r="B9" s="5" t="inlineStr">
        <is>
          <t>$36</t>
        </is>
      </c>
    </row>
    <row r="10">
      <c r="A10" s="4" t="inlineStr">
        <is>
          <t>Blended avg discount</t>
        </is>
      </c>
      <c r="B10" s="5" t="inlineStr">
        <is>
          <t>18%</t>
        </is>
      </c>
    </row>
    <row r="11">
      <c r="A11" s="4" t="inlineStr">
        <is>
          <t>Net revenue per box (after discounts)</t>
        </is>
      </c>
      <c r="B11" s="5" t="inlineStr">
        <is>
          <t>$29.52</t>
        </is>
      </c>
    </row>
    <row r="12">
      <c r="A12" s="4" t="inlineStr">
        <is>
          <t>Affiliate commission (20% on 40% of sales)</t>
        </is>
      </c>
      <c r="B12" s="5" t="inlineStr">
        <is>
          <t>-$2.36/box</t>
        </is>
      </c>
    </row>
    <row r="13">
      <c r="A13" s="4" t="inlineStr">
        <is>
          <t>Net revenue after commissions</t>
        </is>
      </c>
      <c r="B13" s="5" t="inlineStr">
        <is>
          <t>$27.16/box</t>
        </is>
      </c>
    </row>
    <row r="14">
      <c r="A14" s="4" t="inlineStr">
        <is>
          <t>Contribution margin per box</t>
        </is>
      </c>
      <c r="B14" s="5" t="inlineStr">
        <is>
          <t>$13.16</t>
        </is>
      </c>
    </row>
    <row r="15">
      <c r="A15" s="4" t="inlineStr">
        <is>
          <t>Contribution margin %</t>
        </is>
      </c>
      <c r="B15" s="5" t="inlineStr">
        <is>
          <t>48.5%</t>
        </is>
      </c>
    </row>
    <row r="16">
      <c r="A16" s="4" t="inlineStr">
        <is>
          <t>MOQ</t>
        </is>
      </c>
      <c r="B16" s="5" t="inlineStr">
        <is>
          <t>15,000 sachets/flavor = 1,250 boxes</t>
        </is>
      </c>
    </row>
    <row r="17">
      <c r="A17" s="4" t="inlineStr">
        <is>
          <t>Launch inventory</t>
        </is>
      </c>
      <c r="B17" s="5" t="inlineStr">
        <is>
          <t>2,500 boxes (2 flavors)</t>
        </is>
      </c>
    </row>
    <row r="18"/>
    <row r="19"/>
    <row r="20">
      <c r="A20" s="3" t="inlineStr">
        <is>
          <t>24-MONTH P&amp;L — OPTIMISTIC SCENARIO</t>
        </is>
      </c>
    </row>
    <row r="21">
      <c r="A21" s="6" t="inlineStr"/>
      <c r="B21" s="6" t="inlineStr">
        <is>
          <t>M1</t>
        </is>
      </c>
      <c r="C21" s="6" t="inlineStr">
        <is>
          <t>M2</t>
        </is>
      </c>
      <c r="D21" s="6" t="inlineStr">
        <is>
          <t>M3</t>
        </is>
      </c>
      <c r="E21" s="6" t="inlineStr">
        <is>
          <t>M4</t>
        </is>
      </c>
      <c r="F21" s="6" t="inlineStr">
        <is>
          <t>M5</t>
        </is>
      </c>
      <c r="G21" s="6" t="inlineStr">
        <is>
          <t>M6</t>
        </is>
      </c>
      <c r="H21" s="6" t="inlineStr">
        <is>
          <t>M7</t>
        </is>
      </c>
      <c r="I21" s="6" t="inlineStr">
        <is>
          <t>M8</t>
        </is>
      </c>
      <c r="J21" s="6" t="inlineStr">
        <is>
          <t>M9</t>
        </is>
      </c>
      <c r="K21" s="6" t="inlineStr">
        <is>
          <t>M10</t>
        </is>
      </c>
      <c r="L21" s="6" t="inlineStr">
        <is>
          <t>M11</t>
        </is>
      </c>
      <c r="M21" s="6" t="inlineStr">
        <is>
          <t>M12</t>
        </is>
      </c>
      <c r="N21" s="6" t="inlineStr">
        <is>
          <t>M13</t>
        </is>
      </c>
      <c r="O21" s="6" t="inlineStr">
        <is>
          <t>M14</t>
        </is>
      </c>
      <c r="P21" s="6" t="inlineStr">
        <is>
          <t>M15</t>
        </is>
      </c>
      <c r="Q21" s="6" t="inlineStr">
        <is>
          <t>M16</t>
        </is>
      </c>
      <c r="R21" s="6" t="inlineStr">
        <is>
          <t>M17</t>
        </is>
      </c>
      <c r="S21" s="6" t="inlineStr">
        <is>
          <t>M18</t>
        </is>
      </c>
      <c r="T21" s="6" t="inlineStr">
        <is>
          <t>M19</t>
        </is>
      </c>
      <c r="U21" s="6" t="inlineStr">
        <is>
          <t>M20</t>
        </is>
      </c>
      <c r="V21" s="6" t="inlineStr">
        <is>
          <t>M21</t>
        </is>
      </c>
      <c r="W21" s="6" t="inlineStr">
        <is>
          <t>M22</t>
        </is>
      </c>
      <c r="X21" s="6" t="inlineStr">
        <is>
          <t>M23</t>
        </is>
      </c>
      <c r="Y21" s="6" t="inlineStr">
        <is>
          <t>M24</t>
        </is>
      </c>
    </row>
    <row r="22">
      <c r="A22" s="7" t="inlineStr">
        <is>
          <t>New Customers</t>
        </is>
      </c>
      <c r="B22" s="8" t="n">
        <v>60</v>
      </c>
      <c r="C22" s="8" t="n">
        <v>100</v>
      </c>
      <c r="D22" s="8" t="n">
        <v>200</v>
      </c>
      <c r="E22" s="8" t="n">
        <v>380</v>
      </c>
      <c r="F22" s="8" t="n">
        <v>650</v>
      </c>
      <c r="G22" s="8" t="n">
        <v>1000</v>
      </c>
      <c r="H22" s="8" t="n">
        <v>1500</v>
      </c>
      <c r="I22" s="8" t="n">
        <v>2200</v>
      </c>
      <c r="J22" s="8" t="n">
        <v>3200</v>
      </c>
      <c r="K22" s="8" t="n">
        <v>4500</v>
      </c>
      <c r="L22" s="8" t="n">
        <v>6000</v>
      </c>
      <c r="M22" s="8" t="n">
        <v>8000</v>
      </c>
      <c r="N22" s="8" t="n">
        <v>10000</v>
      </c>
      <c r="O22" s="8" t="n">
        <v>13000</v>
      </c>
      <c r="P22" s="8" t="n">
        <v>16000</v>
      </c>
      <c r="Q22" s="8" t="n">
        <v>20000</v>
      </c>
      <c r="R22" s="8" t="n">
        <v>24000</v>
      </c>
      <c r="S22" s="8" t="n">
        <v>29000</v>
      </c>
      <c r="T22" s="8" t="n">
        <v>35000</v>
      </c>
      <c r="U22" s="8" t="n">
        <v>41000</v>
      </c>
      <c r="V22" s="8" t="n">
        <v>48000</v>
      </c>
      <c r="W22" s="8" t="n">
        <v>55000</v>
      </c>
      <c r="X22" s="8" t="n">
        <v>63000</v>
      </c>
      <c r="Y22" s="8" t="n">
        <v>72000</v>
      </c>
    </row>
    <row r="23">
      <c r="A23" s="9" t="inlineStr">
        <is>
          <t>Returning Customers</t>
        </is>
      </c>
      <c r="B23" s="10" t="n">
        <v>0</v>
      </c>
      <c r="C23" s="10" t="n">
        <v>6</v>
      </c>
      <c r="D23" s="10" t="n">
        <v>14</v>
      </c>
      <c r="E23" s="10" t="n">
        <v>36</v>
      </c>
      <c r="F23" s="10" t="n">
        <v>84</v>
      </c>
      <c r="G23" s="10" t="n">
        <v>162</v>
      </c>
      <c r="H23" s="10" t="n">
        <v>270</v>
      </c>
      <c r="I23" s="10" t="n">
        <v>435</v>
      </c>
      <c r="J23" s="10" t="n">
        <v>682</v>
      </c>
      <c r="K23" s="10" t="n">
        <v>1056</v>
      </c>
      <c r="L23" s="10" t="n">
        <v>1575</v>
      </c>
      <c r="M23" s="10" t="n">
        <v>2100</v>
      </c>
      <c r="N23" s="10" t="n">
        <v>2800</v>
      </c>
      <c r="O23" s="10" t="n">
        <v>3500</v>
      </c>
      <c r="P23" s="10" t="n">
        <v>4550</v>
      </c>
      <c r="Q23" s="10" t="n">
        <v>5600</v>
      </c>
      <c r="R23" s="10" t="n">
        <v>7000</v>
      </c>
      <c r="S23" s="10" t="n">
        <v>8400</v>
      </c>
      <c r="T23" s="10" t="n">
        <v>10150</v>
      </c>
      <c r="U23" s="10" t="n">
        <v>12250</v>
      </c>
      <c r="V23" s="10" t="n">
        <v>14350</v>
      </c>
      <c r="W23" s="10" t="n">
        <v>16800</v>
      </c>
      <c r="X23" s="10" t="n">
        <v>19250</v>
      </c>
      <c r="Y23" s="10" t="n">
        <v>22050</v>
      </c>
    </row>
    <row r="24">
      <c r="A24" s="11" t="inlineStr">
        <is>
          <t>Total Orders</t>
        </is>
      </c>
      <c r="B24" s="12" t="n">
        <v>60</v>
      </c>
      <c r="C24" s="12" t="n">
        <v>106</v>
      </c>
      <c r="D24" s="12" t="n">
        <v>214</v>
      </c>
      <c r="E24" s="12" t="n">
        <v>416</v>
      </c>
      <c r="F24" s="12" t="n">
        <v>734</v>
      </c>
      <c r="G24" s="12" t="n">
        <v>1162</v>
      </c>
      <c r="H24" s="12" t="n">
        <v>1770</v>
      </c>
      <c r="I24" s="12" t="n">
        <v>2635</v>
      </c>
      <c r="J24" s="12" t="n">
        <v>3882</v>
      </c>
      <c r="K24" s="12" t="n">
        <v>5556</v>
      </c>
      <c r="L24" s="12" t="n">
        <v>7575</v>
      </c>
      <c r="M24" s="12" t="n">
        <v>10100</v>
      </c>
      <c r="N24" s="12" t="n">
        <v>12800</v>
      </c>
      <c r="O24" s="12" t="n">
        <v>16500</v>
      </c>
      <c r="P24" s="12" t="n">
        <v>20550</v>
      </c>
      <c r="Q24" s="12" t="n">
        <v>25600</v>
      </c>
      <c r="R24" s="12" t="n">
        <v>31000</v>
      </c>
      <c r="S24" s="12" t="n">
        <v>37400</v>
      </c>
      <c r="T24" s="12" t="n">
        <v>45150</v>
      </c>
      <c r="U24" s="12" t="n">
        <v>53250</v>
      </c>
      <c r="V24" s="12" t="n">
        <v>62350</v>
      </c>
      <c r="W24" s="12" t="n">
        <v>71800</v>
      </c>
      <c r="X24" s="12" t="n">
        <v>82250</v>
      </c>
      <c r="Y24" s="12" t="n">
        <v>94050</v>
      </c>
    </row>
    <row r="25">
      <c r="A25" s="9" t="inlineStr"/>
      <c r="B25" s="13" t="n"/>
      <c r="C25" s="13" t="n"/>
      <c r="D25" s="13" t="n"/>
      <c r="E25" s="13" t="n"/>
      <c r="F25" s="13" t="n"/>
      <c r="G25" s="13" t="n"/>
      <c r="H25" s="13" t="n"/>
      <c r="I25" s="13" t="n"/>
      <c r="J25" s="13" t="n"/>
      <c r="K25" s="13" t="n"/>
      <c r="L25" s="13" t="n"/>
      <c r="M25" s="13" t="n"/>
      <c r="N25" s="13" t="n"/>
      <c r="O25" s="13" t="n"/>
      <c r="P25" s="13" t="n"/>
      <c r="Q25" s="13" t="n"/>
      <c r="R25" s="13" t="n"/>
      <c r="S25" s="13" t="n"/>
      <c r="T25" s="13" t="n"/>
      <c r="U25" s="13" t="n"/>
      <c r="V25" s="13" t="n"/>
      <c r="W25" s="13" t="n"/>
      <c r="X25" s="13" t="n"/>
      <c r="Y25" s="13" t="n"/>
    </row>
    <row r="26">
      <c r="A26" s="9" t="inlineStr">
        <is>
          <t>Gross Revenue (full price $36/box)</t>
        </is>
      </c>
      <c r="B26" s="14" t="n">
        <v>2160</v>
      </c>
      <c r="C26" s="14" t="n">
        <v>3816</v>
      </c>
      <c r="D26" s="14" t="n">
        <v>7704</v>
      </c>
      <c r="E26" s="14" t="n">
        <v>14976</v>
      </c>
      <c r="F26" s="14" t="n">
        <v>26424</v>
      </c>
      <c r="G26" s="14" t="n">
        <v>41832</v>
      </c>
      <c r="H26" s="14" t="n">
        <v>63720</v>
      </c>
      <c r="I26" s="14" t="n">
        <v>94860</v>
      </c>
      <c r="J26" s="14" t="n">
        <v>139752</v>
      </c>
      <c r="K26" s="14" t="n">
        <v>200016</v>
      </c>
      <c r="L26" s="14" t="n">
        <v>272700</v>
      </c>
      <c r="M26" s="14" t="n">
        <v>363600</v>
      </c>
      <c r="N26" s="14" t="n">
        <v>460800</v>
      </c>
      <c r="O26" s="14" t="n">
        <v>594000</v>
      </c>
      <c r="P26" s="14" t="n">
        <v>739800</v>
      </c>
      <c r="Q26" s="14" t="n">
        <v>921600</v>
      </c>
      <c r="R26" s="14" t="n">
        <v>1116000</v>
      </c>
      <c r="S26" s="14" t="n">
        <v>1346400</v>
      </c>
      <c r="T26" s="14" t="n">
        <v>1625400</v>
      </c>
      <c r="U26" s="14" t="n">
        <v>1917000</v>
      </c>
      <c r="V26" s="14" t="n">
        <v>2244600</v>
      </c>
      <c r="W26" s="14" t="n">
        <v>2584800</v>
      </c>
      <c r="X26" s="14" t="n">
        <v>2961000</v>
      </c>
      <c r="Y26" s="14" t="n">
        <v>3385800</v>
      </c>
    </row>
    <row r="27">
      <c r="A27" s="11" t="inlineStr">
        <is>
          <t>Net Revenue (after discounts + commissions)</t>
        </is>
      </c>
      <c r="B27" s="15" t="n">
        <v>1629.6</v>
      </c>
      <c r="C27" s="15" t="n">
        <v>2878.96</v>
      </c>
      <c r="D27" s="15" t="n">
        <v>5812.24</v>
      </c>
      <c r="E27" s="15" t="n">
        <v>11298.56</v>
      </c>
      <c r="F27" s="15" t="n">
        <v>19935.44</v>
      </c>
      <c r="G27" s="15" t="n">
        <v>31559.92</v>
      </c>
      <c r="H27" s="15" t="n">
        <v>48073.2</v>
      </c>
      <c r="I27" s="15" t="n">
        <v>71566.60000000001</v>
      </c>
      <c r="J27" s="15" t="n">
        <v>105435.12</v>
      </c>
      <c r="K27" s="15" t="n">
        <v>150900.96</v>
      </c>
      <c r="L27" s="15" t="n">
        <v>205737</v>
      </c>
      <c r="M27" s="15" t="n">
        <v>274316</v>
      </c>
      <c r="N27" s="15" t="n">
        <v>347648</v>
      </c>
      <c r="O27" s="15" t="n">
        <v>448140</v>
      </c>
      <c r="P27" s="15" t="n">
        <v>558138</v>
      </c>
      <c r="Q27" s="15" t="n">
        <v>695296</v>
      </c>
      <c r="R27" s="15" t="n">
        <v>841960</v>
      </c>
      <c r="S27" s="15" t="n">
        <v>1015784</v>
      </c>
      <c r="T27" s="15" t="n">
        <v>1226274</v>
      </c>
      <c r="U27" s="15" t="n">
        <v>1446270</v>
      </c>
      <c r="V27" s="15" t="n">
        <v>1693426</v>
      </c>
      <c r="W27" s="15" t="n">
        <v>1950088</v>
      </c>
      <c r="X27" s="15" t="n">
        <v>2233910</v>
      </c>
      <c r="Y27" s="15" t="n">
        <v>2554398</v>
      </c>
    </row>
    <row r="28">
      <c r="A28" s="9" t="inlineStr">
        <is>
          <t>COGS (product + shipping)</t>
        </is>
      </c>
      <c r="B28" s="16" t="n">
        <v>-840</v>
      </c>
      <c r="C28" s="16" t="n">
        <v>-1484</v>
      </c>
      <c r="D28" s="16" t="n">
        <v>-2996</v>
      </c>
      <c r="E28" s="16" t="n">
        <v>-5824</v>
      </c>
      <c r="F28" s="16" t="n">
        <v>-10276</v>
      </c>
      <c r="G28" s="16" t="n">
        <v>-16268</v>
      </c>
      <c r="H28" s="16" t="n">
        <v>-24780</v>
      </c>
      <c r="I28" s="16" t="n">
        <v>-36890</v>
      </c>
      <c r="J28" s="16" t="n">
        <v>-54348</v>
      </c>
      <c r="K28" s="16" t="n">
        <v>-77784</v>
      </c>
      <c r="L28" s="16" t="n">
        <v>-106050</v>
      </c>
      <c r="M28" s="16" t="n">
        <v>-141400</v>
      </c>
      <c r="N28" s="16" t="n">
        <v>-179200</v>
      </c>
      <c r="O28" s="16" t="n">
        <v>-231000</v>
      </c>
      <c r="P28" s="16" t="n">
        <v>-287700</v>
      </c>
      <c r="Q28" s="16" t="n">
        <v>-358400</v>
      </c>
      <c r="R28" s="16" t="n">
        <v>-434000</v>
      </c>
      <c r="S28" s="16" t="n">
        <v>-523600</v>
      </c>
      <c r="T28" s="16" t="n">
        <v>-632100</v>
      </c>
      <c r="U28" s="16" t="n">
        <v>-745500</v>
      </c>
      <c r="V28" s="16" t="n">
        <v>-872900</v>
      </c>
      <c r="W28" s="16" t="n">
        <v>-1005200</v>
      </c>
      <c r="X28" s="16" t="n">
        <v>-1151500</v>
      </c>
      <c r="Y28" s="16" t="n">
        <v>-1316700</v>
      </c>
    </row>
    <row r="29">
      <c r="A29" s="11" t="inlineStr">
        <is>
          <t>GROSS PROFIT</t>
        </is>
      </c>
      <c r="B29" s="17" t="n">
        <v>789.5999999999999</v>
      </c>
      <c r="C29" s="17" t="n">
        <v>1394.96</v>
      </c>
      <c r="D29" s="17" t="n">
        <v>2816.24</v>
      </c>
      <c r="E29" s="17" t="n">
        <v>5474.559999999999</v>
      </c>
      <c r="F29" s="17" t="n">
        <v>9659.439999999999</v>
      </c>
      <c r="G29" s="17" t="n">
        <v>15291.92</v>
      </c>
      <c r="H29" s="17" t="n">
        <v>23293.2</v>
      </c>
      <c r="I29" s="17" t="n">
        <v>34676.60000000001</v>
      </c>
      <c r="J29" s="17" t="n">
        <v>51087.12</v>
      </c>
      <c r="K29" s="17" t="n">
        <v>73116.95999999999</v>
      </c>
      <c r="L29" s="17" t="n">
        <v>99687</v>
      </c>
      <c r="M29" s="17" t="n">
        <v>132916</v>
      </c>
      <c r="N29" s="17" t="n">
        <v>168448</v>
      </c>
      <c r="O29" s="17" t="n">
        <v>217140</v>
      </c>
      <c r="P29" s="17" t="n">
        <v>270438</v>
      </c>
      <c r="Q29" s="17" t="n">
        <v>336896</v>
      </c>
      <c r="R29" s="17" t="n">
        <v>407960</v>
      </c>
      <c r="S29" s="17" t="n">
        <v>492184</v>
      </c>
      <c r="T29" s="17" t="n">
        <v>594174</v>
      </c>
      <c r="U29" s="17" t="n">
        <v>700770</v>
      </c>
      <c r="V29" s="17" t="n">
        <v>820526</v>
      </c>
      <c r="W29" s="17" t="n">
        <v>944888</v>
      </c>
      <c r="X29" s="17" t="n">
        <v>1082410</v>
      </c>
      <c r="Y29" s="17" t="n">
        <v>1237698</v>
      </c>
    </row>
    <row r="30">
      <c r="A30" s="9" t="inlineStr">
        <is>
          <t>Gross Margin %</t>
        </is>
      </c>
      <c r="B30" s="18" t="n">
        <v>0.4845360824742267</v>
      </c>
      <c r="C30" s="18" t="n">
        <v>0.4845360824742268</v>
      </c>
      <c r="D30" s="18" t="n">
        <v>0.4845360824742268</v>
      </c>
      <c r="E30" s="18" t="n">
        <v>0.4845360824742268</v>
      </c>
      <c r="F30" s="18" t="n">
        <v>0.4845360824742267</v>
      </c>
      <c r="G30" s="18" t="n">
        <v>0.4845360824742269</v>
      </c>
      <c r="H30" s="18" t="n">
        <v>0.4845360824742267</v>
      </c>
      <c r="I30" s="18" t="n">
        <v>0.4845360824742269</v>
      </c>
      <c r="J30" s="18" t="n">
        <v>0.4845360824742268</v>
      </c>
      <c r="K30" s="18" t="n">
        <v>0.4845360824742268</v>
      </c>
      <c r="L30" s="18" t="n">
        <v>0.4845360824742268</v>
      </c>
      <c r="M30" s="18" t="n">
        <v>0.4845360824742268</v>
      </c>
      <c r="N30" s="18" t="n">
        <v>0.4845360824742268</v>
      </c>
      <c r="O30" s="18" t="n">
        <v>0.4845360824742268</v>
      </c>
      <c r="P30" s="18" t="n">
        <v>0.4845360824742268</v>
      </c>
      <c r="Q30" s="18" t="n">
        <v>0.4845360824742268</v>
      </c>
      <c r="R30" s="18" t="n">
        <v>0.4845360824742268</v>
      </c>
      <c r="S30" s="18" t="n">
        <v>0.4845360824742268</v>
      </c>
      <c r="T30" s="18" t="n">
        <v>0.4845360824742268</v>
      </c>
      <c r="U30" s="18" t="n">
        <v>0.4845360824742268</v>
      </c>
      <c r="V30" s="18" t="n">
        <v>0.4845360824742268</v>
      </c>
      <c r="W30" s="18" t="n">
        <v>0.4845360824742268</v>
      </c>
      <c r="X30" s="18" t="n">
        <v>0.4845360824742268</v>
      </c>
      <c r="Y30" s="18" t="n">
        <v>0.4845360824742268</v>
      </c>
    </row>
    <row r="31">
      <c r="A31" s="9" t="inlineStr"/>
      <c r="B31" s="13" t="n"/>
      <c r="C31" s="13" t="n"/>
      <c r="D31" s="13" t="n"/>
      <c r="E31" s="13" t="n"/>
      <c r="F31" s="13" t="n"/>
      <c r="G31" s="13" t="n"/>
      <c r="H31" s="13" t="n"/>
      <c r="I31" s="13" t="n"/>
      <c r="J31" s="13" t="n"/>
      <c r="K31" s="13" t="n"/>
      <c r="L31" s="13" t="n"/>
      <c r="M31" s="13" t="n"/>
      <c r="N31" s="13" t="n"/>
      <c r="O31" s="13" t="n"/>
      <c r="P31" s="13" t="n"/>
      <c r="Q31" s="13" t="n"/>
      <c r="R31" s="13" t="n"/>
      <c r="S31" s="13" t="n"/>
      <c r="T31" s="13" t="n"/>
      <c r="U31" s="13" t="n"/>
      <c r="V31" s="13" t="n"/>
      <c r="W31" s="13" t="n"/>
      <c r="X31" s="13" t="n"/>
      <c r="Y31" s="13" t="n"/>
    </row>
    <row r="32">
      <c r="A32" s="7" t="inlineStr">
        <is>
          <t>Marketing &amp; Ads</t>
        </is>
      </c>
      <c r="B32" s="19" t="n">
        <v>-1320</v>
      </c>
      <c r="C32" s="19" t="n">
        <v>-2000</v>
      </c>
      <c r="D32" s="19" t="n">
        <v>-3600</v>
      </c>
      <c r="E32" s="19" t="n">
        <v>-5700</v>
      </c>
      <c r="F32" s="19" t="n">
        <v>-9100</v>
      </c>
      <c r="G32" s="19" t="n">
        <v>-13000</v>
      </c>
      <c r="H32" s="19" t="n">
        <v>-18000</v>
      </c>
      <c r="I32" s="19" t="n">
        <v>-24200</v>
      </c>
      <c r="J32" s="19" t="n">
        <v>-35200</v>
      </c>
      <c r="K32" s="19" t="n">
        <v>-45000</v>
      </c>
      <c r="L32" s="19" t="n">
        <v>-60000</v>
      </c>
      <c r="M32" s="19" t="n">
        <v>-72000</v>
      </c>
      <c r="N32" s="19" t="n">
        <v>-90000</v>
      </c>
      <c r="O32" s="19" t="n">
        <v>-117000</v>
      </c>
      <c r="P32" s="19" t="n">
        <v>-128000</v>
      </c>
      <c r="Q32" s="19" t="n">
        <v>-160000</v>
      </c>
      <c r="R32" s="19" t="n">
        <v>-192000</v>
      </c>
      <c r="S32" s="19" t="n">
        <v>-232000</v>
      </c>
      <c r="T32" s="19" t="n">
        <v>-245000</v>
      </c>
      <c r="U32" s="19" t="n">
        <v>-287000</v>
      </c>
      <c r="V32" s="19" t="n">
        <v>-336000</v>
      </c>
      <c r="W32" s="19" t="n">
        <v>-385000</v>
      </c>
      <c r="X32" s="19" t="n">
        <v>-441000</v>
      </c>
      <c r="Y32" s="19" t="n">
        <v>-504000</v>
      </c>
    </row>
    <row r="33">
      <c r="A33" s="9" t="inlineStr">
        <is>
          <t>CAC</t>
        </is>
      </c>
      <c r="B33" s="14" t="n">
        <v>22</v>
      </c>
      <c r="C33" s="14" t="n">
        <v>20</v>
      </c>
      <c r="D33" s="14" t="n">
        <v>18</v>
      </c>
      <c r="E33" s="14" t="n">
        <v>15</v>
      </c>
      <c r="F33" s="14" t="n">
        <v>14</v>
      </c>
      <c r="G33" s="14" t="n">
        <v>13</v>
      </c>
      <c r="H33" s="14" t="n">
        <v>12</v>
      </c>
      <c r="I33" s="14" t="n">
        <v>11</v>
      </c>
      <c r="J33" s="14" t="n">
        <v>11</v>
      </c>
      <c r="K33" s="14" t="n">
        <v>10</v>
      </c>
      <c r="L33" s="14" t="n">
        <v>10</v>
      </c>
      <c r="M33" s="14" t="n">
        <v>9</v>
      </c>
      <c r="N33" s="14" t="n">
        <v>9</v>
      </c>
      <c r="O33" s="14" t="n">
        <v>9</v>
      </c>
      <c r="P33" s="14" t="n">
        <v>8</v>
      </c>
      <c r="Q33" s="14" t="n">
        <v>8</v>
      </c>
      <c r="R33" s="14" t="n">
        <v>8</v>
      </c>
      <c r="S33" s="14" t="n">
        <v>8</v>
      </c>
      <c r="T33" s="14" t="n">
        <v>7</v>
      </c>
      <c r="U33" s="14" t="n">
        <v>7</v>
      </c>
      <c r="V33" s="14" t="n">
        <v>7</v>
      </c>
      <c r="W33" s="14" t="n">
        <v>7</v>
      </c>
      <c r="X33" s="14" t="n">
        <v>7</v>
      </c>
      <c r="Y33" s="14" t="n">
        <v>7</v>
      </c>
    </row>
    <row r="34">
      <c r="A34" s="7" t="inlineStr">
        <is>
          <t>Other OpEx</t>
        </is>
      </c>
      <c r="B34" s="19" t="n">
        <v>-1700</v>
      </c>
      <c r="C34" s="19" t="n">
        <v>-1700</v>
      </c>
      <c r="D34" s="19" t="n">
        <v>-2500</v>
      </c>
      <c r="E34" s="19" t="n">
        <v>-3500</v>
      </c>
      <c r="F34" s="19" t="n">
        <v>-5000</v>
      </c>
      <c r="G34" s="19" t="n">
        <v>-7000</v>
      </c>
      <c r="H34" s="19" t="n">
        <v>-10000</v>
      </c>
      <c r="I34" s="19" t="n">
        <v>-14000</v>
      </c>
      <c r="J34" s="19" t="n">
        <v>-18000</v>
      </c>
      <c r="K34" s="19" t="n">
        <v>-24000</v>
      </c>
      <c r="L34" s="19" t="n">
        <v>-30000</v>
      </c>
      <c r="M34" s="19" t="n">
        <v>-38000</v>
      </c>
      <c r="N34" s="19" t="n">
        <v>-46000</v>
      </c>
      <c r="O34" s="19" t="n">
        <v>-55000</v>
      </c>
      <c r="P34" s="19" t="n">
        <v>-65000</v>
      </c>
      <c r="Q34" s="19" t="n">
        <v>-78000</v>
      </c>
      <c r="R34" s="19" t="n">
        <v>-90000</v>
      </c>
      <c r="S34" s="19" t="n">
        <v>-105000</v>
      </c>
      <c r="T34" s="19" t="n">
        <v>-122000</v>
      </c>
      <c r="U34" s="19" t="n">
        <v>-140000</v>
      </c>
      <c r="V34" s="19" t="n">
        <v>-160000</v>
      </c>
      <c r="W34" s="19" t="n">
        <v>-182000</v>
      </c>
      <c r="X34" s="19" t="n">
        <v>-210000</v>
      </c>
      <c r="Y34" s="19" t="n">
        <v>-240000</v>
      </c>
    </row>
    <row r="35">
      <c r="A35" s="20" t="inlineStr">
        <is>
          <t>Total OpEx</t>
        </is>
      </c>
      <c r="B35" s="17" t="n">
        <v>-3020</v>
      </c>
      <c r="C35" s="17" t="n">
        <v>-3700</v>
      </c>
      <c r="D35" s="17" t="n">
        <v>-6100</v>
      </c>
      <c r="E35" s="17" t="n">
        <v>-9200</v>
      </c>
      <c r="F35" s="17" t="n">
        <v>-14100</v>
      </c>
      <c r="G35" s="17" t="n">
        <v>-20000</v>
      </c>
      <c r="H35" s="17" t="n">
        <v>-28000</v>
      </c>
      <c r="I35" s="17" t="n">
        <v>-38200</v>
      </c>
      <c r="J35" s="17" t="n">
        <v>-53200</v>
      </c>
      <c r="K35" s="17" t="n">
        <v>-69000</v>
      </c>
      <c r="L35" s="17" t="n">
        <v>-90000</v>
      </c>
      <c r="M35" s="17" t="n">
        <v>-110000</v>
      </c>
      <c r="N35" s="17" t="n">
        <v>-136000</v>
      </c>
      <c r="O35" s="17" t="n">
        <v>-172000</v>
      </c>
      <c r="P35" s="17" t="n">
        <v>-193000</v>
      </c>
      <c r="Q35" s="17" t="n">
        <v>-238000</v>
      </c>
      <c r="R35" s="17" t="n">
        <v>-282000</v>
      </c>
      <c r="S35" s="17" t="n">
        <v>-337000</v>
      </c>
      <c r="T35" s="17" t="n">
        <v>-367000</v>
      </c>
      <c r="U35" s="17" t="n">
        <v>-427000</v>
      </c>
      <c r="V35" s="17" t="n">
        <v>-496000</v>
      </c>
      <c r="W35" s="17" t="n">
        <v>-567000</v>
      </c>
      <c r="X35" s="17" t="n">
        <v>-651000</v>
      </c>
      <c r="Y35" s="17" t="n">
        <v>-744000</v>
      </c>
    </row>
    <row r="36">
      <c r="A36" s="9" t="inlineStr"/>
      <c r="B36" s="13" t="n"/>
      <c r="C36" s="13" t="n"/>
      <c r="D36" s="13" t="n"/>
      <c r="E36" s="13" t="n"/>
      <c r="F36" s="13" t="n"/>
      <c r="G36" s="13" t="n"/>
      <c r="H36" s="13" t="n"/>
      <c r="I36" s="13" t="n"/>
      <c r="J36" s="13" t="n"/>
      <c r="K36" s="13" t="n"/>
      <c r="L36" s="13" t="n"/>
      <c r="M36" s="13" t="n"/>
      <c r="N36" s="13" t="n"/>
      <c r="O36" s="13" t="n"/>
      <c r="P36" s="13" t="n"/>
      <c r="Q36" s="13" t="n"/>
      <c r="R36" s="13" t="n"/>
      <c r="S36" s="13" t="n"/>
      <c r="T36" s="13" t="n"/>
      <c r="U36" s="13" t="n"/>
      <c r="V36" s="13" t="n"/>
      <c r="W36" s="13" t="n"/>
      <c r="X36" s="13" t="n"/>
      <c r="Y36" s="13" t="n"/>
    </row>
    <row r="37">
      <c r="A37" s="11" t="inlineStr">
        <is>
          <t>EBITDA</t>
        </is>
      </c>
      <c r="B37" s="17" t="n">
        <v>-2230.4</v>
      </c>
      <c r="C37" s="17" t="n">
        <v>-2305.04</v>
      </c>
      <c r="D37" s="17" t="n">
        <v>-3283.76</v>
      </c>
      <c r="E37" s="17" t="n">
        <v>-3725.440000000001</v>
      </c>
      <c r="F37" s="17" t="n">
        <v>-4440.560000000001</v>
      </c>
      <c r="G37" s="17" t="n">
        <v>-4708.079999999998</v>
      </c>
      <c r="H37" s="17" t="n">
        <v>-4706.800000000003</v>
      </c>
      <c r="I37" s="17" t="n">
        <v>-3523.399999999994</v>
      </c>
      <c r="J37" s="17" t="n">
        <v>-2112.880000000005</v>
      </c>
      <c r="K37" s="17" t="n">
        <v>4116.959999999992</v>
      </c>
      <c r="L37" s="17" t="n">
        <v>9687</v>
      </c>
      <c r="M37" s="17" t="n">
        <v>22916</v>
      </c>
      <c r="N37" s="17" t="n">
        <v>32448</v>
      </c>
      <c r="O37" s="17" t="n">
        <v>45140</v>
      </c>
      <c r="P37" s="17" t="n">
        <v>77438</v>
      </c>
      <c r="Q37" s="17" t="n">
        <v>98896</v>
      </c>
      <c r="R37" s="17" t="n">
        <v>125960</v>
      </c>
      <c r="S37" s="17" t="n">
        <v>155184</v>
      </c>
      <c r="T37" s="17" t="n">
        <v>227174</v>
      </c>
      <c r="U37" s="17" t="n">
        <v>273770</v>
      </c>
      <c r="V37" s="17" t="n">
        <v>324526</v>
      </c>
      <c r="W37" s="17" t="n">
        <v>377888</v>
      </c>
      <c r="X37" s="17" t="n">
        <v>431410</v>
      </c>
      <c r="Y37" s="17" t="n">
        <v>493698</v>
      </c>
    </row>
    <row r="38">
      <c r="A38" s="9" t="inlineStr">
        <is>
          <t>EBITDA Margin %</t>
        </is>
      </c>
      <c r="B38" s="18" t="n">
        <v>-1.368679430535101</v>
      </c>
      <c r="C38" s="18" t="n">
        <v>-0.8006502348070136</v>
      </c>
      <c r="D38" s="18" t="n">
        <v>-0.5649732289100244</v>
      </c>
      <c r="E38" s="18" t="n">
        <v>-0.329726974056871</v>
      </c>
      <c r="F38" s="18" t="n">
        <v>-0.2227470274044617</v>
      </c>
      <c r="G38" s="18" t="n">
        <v>-0.1491790853715725</v>
      </c>
      <c r="H38" s="18" t="n">
        <v>-0.09790902207466953</v>
      </c>
      <c r="I38" s="18" t="n">
        <v>-0.04923246318813516</v>
      </c>
      <c r="J38" s="18" t="n">
        <v>-0.02003962247114628</v>
      </c>
      <c r="K38" s="18" t="n">
        <v>0.02728253021054334</v>
      </c>
      <c r="L38" s="18" t="n">
        <v>0.04708438443255224</v>
      </c>
      <c r="M38" s="18" t="n">
        <v>0.08353869260269178</v>
      </c>
      <c r="N38" s="18" t="n">
        <v>0.09333578792341679</v>
      </c>
      <c r="O38" s="18" t="n">
        <v>0.1007274512429152</v>
      </c>
      <c r="P38" s="18" t="n">
        <v>0.1387434648778617</v>
      </c>
      <c r="Q38" s="18" t="n">
        <v>0.142235824742268</v>
      </c>
      <c r="R38" s="18" t="n">
        <v>0.1496033065703834</v>
      </c>
      <c r="S38" s="18" t="n">
        <v>0.152772636702291</v>
      </c>
      <c r="T38" s="18" t="n">
        <v>0.1852554975478564</v>
      </c>
      <c r="U38" s="18" t="n">
        <v>0.1892938386331736</v>
      </c>
      <c r="V38" s="18" t="n">
        <v>0.1916387252823566</v>
      </c>
      <c r="W38" s="18" t="n">
        <v>0.1937799730063464</v>
      </c>
      <c r="X38" s="18" t="n">
        <v>0.1931187917149751</v>
      </c>
      <c r="Y38" s="18" t="n">
        <v>0.1932737185043208</v>
      </c>
    </row>
    <row r="39">
      <c r="A39" s="9" t="inlineStr"/>
      <c r="B39" s="13" t="n"/>
      <c r="C39" s="13" t="n"/>
      <c r="D39" s="13" t="n"/>
      <c r="E39" s="13" t="n"/>
      <c r="F39" s="13" t="n"/>
      <c r="G39" s="13" t="n"/>
      <c r="H39" s="13" t="n"/>
      <c r="I39" s="13" t="n"/>
      <c r="J39" s="13" t="n"/>
      <c r="K39" s="13" t="n"/>
      <c r="L39" s="13" t="n"/>
      <c r="M39" s="13" t="n"/>
      <c r="N39" s="13" t="n"/>
      <c r="O39" s="13" t="n"/>
      <c r="P39" s="13" t="n"/>
      <c r="Q39" s="13" t="n"/>
      <c r="R39" s="13" t="n"/>
      <c r="S39" s="13" t="n"/>
      <c r="T39" s="13" t="n"/>
      <c r="U39" s="13" t="n"/>
      <c r="V39" s="13" t="n"/>
      <c r="W39" s="13" t="n"/>
      <c r="X39" s="13" t="n"/>
      <c r="Y39" s="13" t="n"/>
    </row>
    <row r="40">
      <c r="A40" s="21" t="inlineStr">
        <is>
          <t>DEBT DRAWN ← Capital Call</t>
        </is>
      </c>
      <c r="B40" s="22" t="n">
        <v>0</v>
      </c>
      <c r="C40" s="22" t="n">
        <v>0</v>
      </c>
      <c r="D40" s="22" t="n">
        <v>0</v>
      </c>
      <c r="E40" s="22" t="n">
        <v>0</v>
      </c>
      <c r="F40" s="22" t="n">
        <v>0</v>
      </c>
      <c r="G40" s="22" t="n">
        <v>50000</v>
      </c>
      <c r="H40" s="22" t="n">
        <v>0</v>
      </c>
      <c r="I40" s="22" t="n">
        <v>0</v>
      </c>
      <c r="J40" s="22" t="n">
        <v>0</v>
      </c>
      <c r="K40" s="22" t="n">
        <v>75000</v>
      </c>
      <c r="L40" s="22" t="n">
        <v>0</v>
      </c>
      <c r="M40" s="22" t="n">
        <v>0</v>
      </c>
      <c r="N40" s="22" t="n">
        <v>75000</v>
      </c>
      <c r="O40" s="22" t="n">
        <v>0</v>
      </c>
      <c r="P40" s="22" t="n">
        <v>0</v>
      </c>
      <c r="Q40" s="22" t="n">
        <v>75000</v>
      </c>
      <c r="R40" s="22" t="n">
        <v>0</v>
      </c>
      <c r="S40" s="22" t="n">
        <v>0</v>
      </c>
      <c r="T40" s="22" t="n">
        <v>0</v>
      </c>
      <c r="U40" s="22" t="n">
        <v>0</v>
      </c>
      <c r="V40" s="22" t="n">
        <v>0</v>
      </c>
      <c r="W40" s="22" t="n">
        <v>0</v>
      </c>
      <c r="X40" s="22" t="n">
        <v>0</v>
      </c>
      <c r="Y40" s="22" t="n">
        <v>0</v>
      </c>
    </row>
    <row r="41">
      <c r="A41" s="9" t="inlineStr">
        <is>
          <t>Interest Expense</t>
        </is>
      </c>
      <c r="B41" s="16" t="n">
        <v>0</v>
      </c>
      <c r="C41" s="16" t="n">
        <v>-0</v>
      </c>
      <c r="D41" s="16" t="n">
        <v>-0</v>
      </c>
      <c r="E41" s="16" t="n">
        <v>-0</v>
      </c>
      <c r="F41" s="16" t="n">
        <v>-0</v>
      </c>
      <c r="G41" s="16" t="n">
        <v>-0</v>
      </c>
      <c r="H41" s="16" t="n">
        <v>-375</v>
      </c>
      <c r="I41" s="16" t="n">
        <v>-375</v>
      </c>
      <c r="J41" s="16" t="n">
        <v>-375</v>
      </c>
      <c r="K41" s="16" t="n">
        <v>-375</v>
      </c>
      <c r="L41" s="16" t="n">
        <v>-937.5</v>
      </c>
      <c r="M41" s="16" t="n">
        <v>-937.5</v>
      </c>
      <c r="N41" s="16" t="n">
        <v>-937.5</v>
      </c>
      <c r="O41" s="16" t="n">
        <v>-1500</v>
      </c>
      <c r="P41" s="16" t="n">
        <v>-1500</v>
      </c>
      <c r="Q41" s="16" t="n">
        <v>-1500</v>
      </c>
      <c r="R41" s="16" t="n">
        <v>-2062.5</v>
      </c>
      <c r="S41" s="16" t="n">
        <v>-2062.5</v>
      </c>
      <c r="T41" s="16" t="n">
        <v>-2062.5</v>
      </c>
      <c r="U41" s="16" t="n">
        <v>-2062.5</v>
      </c>
      <c r="V41" s="16" t="n">
        <v>-2062.5</v>
      </c>
      <c r="W41" s="16" t="n">
        <v>-2062.5</v>
      </c>
      <c r="X41" s="16" t="n">
        <v>-2062.5</v>
      </c>
      <c r="Y41" s="16" t="n">
        <v>-2062.5</v>
      </c>
    </row>
    <row r="42">
      <c r="A42" s="9" t="inlineStr">
        <is>
          <t>Cumulative Debt</t>
        </is>
      </c>
      <c r="B42" s="14" t="n">
        <v>0</v>
      </c>
      <c r="C42" s="14" t="n">
        <v>0</v>
      </c>
      <c r="D42" s="14" t="n">
        <v>0</v>
      </c>
      <c r="E42" s="14" t="n">
        <v>0</v>
      </c>
      <c r="F42" s="14" t="n">
        <v>0</v>
      </c>
      <c r="G42" s="14" t="n">
        <v>50000</v>
      </c>
      <c r="H42" s="14" t="n">
        <v>50000</v>
      </c>
      <c r="I42" s="14" t="n">
        <v>50000</v>
      </c>
      <c r="J42" s="14" t="n">
        <v>50000</v>
      </c>
      <c r="K42" s="14" t="n">
        <v>125000</v>
      </c>
      <c r="L42" s="14" t="n">
        <v>125000</v>
      </c>
      <c r="M42" s="14" t="n">
        <v>125000</v>
      </c>
      <c r="N42" s="14" t="n">
        <v>200000</v>
      </c>
      <c r="O42" s="14" t="n">
        <v>200000</v>
      </c>
      <c r="P42" s="14" t="n">
        <v>200000</v>
      </c>
      <c r="Q42" s="14" t="n">
        <v>275000</v>
      </c>
      <c r="R42" s="14" t="n">
        <v>275000</v>
      </c>
      <c r="S42" s="14" t="n">
        <v>275000</v>
      </c>
      <c r="T42" s="14" t="n">
        <v>275000</v>
      </c>
      <c r="U42" s="14" t="n">
        <v>275000</v>
      </c>
      <c r="V42" s="14" t="n">
        <v>275000</v>
      </c>
      <c r="W42" s="14" t="n">
        <v>275000</v>
      </c>
      <c r="X42" s="14" t="n">
        <v>275000</v>
      </c>
      <c r="Y42" s="14" t="n">
        <v>275000</v>
      </c>
    </row>
    <row r="43">
      <c r="A43" s="23" t="inlineStr">
        <is>
          <t>ENDING CASH</t>
        </is>
      </c>
      <c r="B43" s="17" t="n">
        <v>25269.6</v>
      </c>
      <c r="C43" s="17" t="n">
        <v>22964.56</v>
      </c>
      <c r="D43" s="17" t="n">
        <v>19680.8</v>
      </c>
      <c r="E43" s="17" t="n">
        <v>15955.36</v>
      </c>
      <c r="F43" s="17" t="n">
        <v>11514.79999999999</v>
      </c>
      <c r="G43" s="17" t="n">
        <v>56806.71999999999</v>
      </c>
      <c r="H43" s="17" t="n">
        <v>29224.91999999999</v>
      </c>
      <c r="I43" s="17" t="n">
        <v>25326.52</v>
      </c>
      <c r="J43" s="17" t="n">
        <v>22838.63999999999</v>
      </c>
      <c r="K43" s="17" t="n">
        <v>41577.59999999998</v>
      </c>
      <c r="L43" s="17" t="n">
        <v>50327.09999999998</v>
      </c>
      <c r="M43" s="17" t="n">
        <v>72305.59999999998</v>
      </c>
      <c r="N43" s="17" t="n">
        <v>40576.09999999998</v>
      </c>
      <c r="O43" s="17" t="n">
        <v>84216.09999999998</v>
      </c>
      <c r="P43" s="17" t="n">
        <v>160154.1</v>
      </c>
      <c r="Q43" s="17" t="n">
        <v>56070.09999999998</v>
      </c>
      <c r="R43" s="17" t="n">
        <v>179967.6</v>
      </c>
      <c r="S43" s="17" t="n">
        <v>333089.1</v>
      </c>
      <c r="T43" s="17" t="n">
        <v>70580.59999999998</v>
      </c>
      <c r="U43" s="17" t="n">
        <v>342288.1</v>
      </c>
      <c r="V43" s="17" t="n">
        <v>664751.6</v>
      </c>
      <c r="W43" s="17" t="n">
        <v>265137.1</v>
      </c>
      <c r="X43" s="17" t="n">
        <v>694484.6</v>
      </c>
      <c r="Y43" s="17" t="n">
        <v>1186120.1</v>
      </c>
    </row>
    <row r="44">
      <c r="A44" s="9" t="inlineStr"/>
      <c r="B44" s="13" t="n"/>
      <c r="C44" s="13" t="n"/>
      <c r="D44" s="13" t="n"/>
      <c r="E44" s="13" t="n"/>
      <c r="F44" s="13" t="n"/>
      <c r="G44" s="13" t="n"/>
      <c r="H44" s="13" t="n"/>
      <c r="I44" s="13" t="n"/>
      <c r="J44" s="13" t="n"/>
      <c r="K44" s="13" t="n"/>
      <c r="L44" s="13" t="n"/>
      <c r="M44" s="13" t="n"/>
      <c r="N44" s="13" t="n"/>
      <c r="O44" s="13" t="n"/>
      <c r="P44" s="13" t="n"/>
      <c r="Q44" s="13" t="n"/>
      <c r="R44" s="13" t="n"/>
      <c r="S44" s="13" t="n"/>
      <c r="T44" s="13" t="n"/>
      <c r="U44" s="13" t="n"/>
      <c r="V44" s="13" t="n"/>
      <c r="W44" s="13" t="n"/>
      <c r="X44" s="13" t="n"/>
      <c r="Y44" s="13" t="n"/>
    </row>
    <row r="45">
      <c r="A45" s="4" t="inlineStr">
        <is>
          <t>Cumulative Revenue</t>
        </is>
      </c>
      <c r="B45" s="15" t="n">
        <v>1629.6</v>
      </c>
      <c r="C45" s="15" t="n">
        <v>4508.559999999999</v>
      </c>
      <c r="D45" s="15" t="n">
        <v>10320.8</v>
      </c>
      <c r="E45" s="15" t="n">
        <v>21619.36</v>
      </c>
      <c r="F45" s="15" t="n">
        <v>41554.8</v>
      </c>
      <c r="G45" s="15" t="n">
        <v>73114.72</v>
      </c>
      <c r="H45" s="15" t="n">
        <v>121187.92</v>
      </c>
      <c r="I45" s="15" t="n">
        <v>192754.52</v>
      </c>
      <c r="J45" s="15" t="n">
        <v>298189.64</v>
      </c>
      <c r="K45" s="15" t="n">
        <v>449090.6</v>
      </c>
      <c r="L45" s="15" t="n">
        <v>654827.6</v>
      </c>
      <c r="M45" s="15" t="n">
        <v>929143.6</v>
      </c>
      <c r="N45" s="15" t="n">
        <v>1276791.6</v>
      </c>
      <c r="O45" s="15" t="n">
        <v>1724931.6</v>
      </c>
      <c r="P45" s="15" t="n">
        <v>2283069.6</v>
      </c>
      <c r="Q45" s="15" t="n">
        <v>2978365.6</v>
      </c>
      <c r="R45" s="15" t="n">
        <v>3820325.6</v>
      </c>
      <c r="S45" s="15" t="n">
        <v>4836109.6</v>
      </c>
      <c r="T45" s="15" t="n">
        <v>6062383.6</v>
      </c>
      <c r="U45" s="15" t="n">
        <v>7508653.6</v>
      </c>
      <c r="V45" s="15" t="n">
        <v>9202079.6</v>
      </c>
      <c r="W45" s="15" t="n">
        <v>11152167.6</v>
      </c>
      <c r="X45" s="15" t="n">
        <v>13386077.6</v>
      </c>
      <c r="Y45" s="15" t="n">
        <v>15940475.6</v>
      </c>
    </row>
    <row r="46">
      <c r="A46" s="24" t="inlineStr">
        <is>
          <t>Monthly Revenue (annualized)</t>
        </is>
      </c>
      <c r="B46" s="25" t="n">
        <v>19555.2</v>
      </c>
      <c r="C46" s="25" t="n">
        <v>34547.52</v>
      </c>
      <c r="D46" s="25" t="n">
        <v>69746.88</v>
      </c>
      <c r="E46" s="25" t="n">
        <v>135582.72</v>
      </c>
      <c r="F46" s="25" t="n">
        <v>239225.28</v>
      </c>
      <c r="G46" s="25" t="n">
        <v>378719.04</v>
      </c>
      <c r="H46" s="25" t="n">
        <v>576878.3999999999</v>
      </c>
      <c r="I46" s="25" t="n">
        <v>858799.2000000001</v>
      </c>
      <c r="J46" s="25" t="n">
        <v>1265221.44</v>
      </c>
      <c r="K46" s="25" t="n">
        <v>1810811.52</v>
      </c>
      <c r="L46" s="25" t="n">
        <v>2468844</v>
      </c>
      <c r="M46" s="25" t="n">
        <v>3291792</v>
      </c>
      <c r="N46" s="25" t="n">
        <v>4171776</v>
      </c>
      <c r="O46" s="25" t="n">
        <v>5377680</v>
      </c>
      <c r="P46" s="25" t="n">
        <v>6697656</v>
      </c>
      <c r="Q46" s="25" t="n">
        <v>8343552</v>
      </c>
      <c r="R46" s="25" t="n">
        <v>10103520</v>
      </c>
      <c r="S46" s="25" t="n">
        <v>12189408</v>
      </c>
      <c r="T46" s="25" t="n">
        <v>14715288</v>
      </c>
      <c r="U46" s="25" t="n">
        <v>17355240</v>
      </c>
      <c r="V46" s="25" t="n">
        <v>20321112</v>
      </c>
      <c r="W46" s="25" t="n">
        <v>23401056</v>
      </c>
      <c r="X46" s="25" t="n">
        <v>26806920</v>
      </c>
      <c r="Y46" s="25" t="n">
        <v>30652776</v>
      </c>
    </row>
    <row r="47">
      <c r="A47" s="9" t="inlineStr">
        <is>
          <t>Cumulative Customers</t>
        </is>
      </c>
      <c r="B47" s="10" t="n">
        <v>60</v>
      </c>
      <c r="C47" s="10" t="n">
        <v>160</v>
      </c>
      <c r="D47" s="10" t="n">
        <v>360</v>
      </c>
      <c r="E47" s="10" t="n">
        <v>740</v>
      </c>
      <c r="F47" s="10" t="n">
        <v>1390</v>
      </c>
      <c r="G47" s="10" t="n">
        <v>2390</v>
      </c>
      <c r="H47" s="10" t="n">
        <v>3890</v>
      </c>
      <c r="I47" s="10" t="n">
        <v>6090</v>
      </c>
      <c r="J47" s="10" t="n">
        <v>9290</v>
      </c>
      <c r="K47" s="10" t="n">
        <v>13790</v>
      </c>
      <c r="L47" s="10" t="n">
        <v>19790</v>
      </c>
      <c r="M47" s="10" t="n">
        <v>27790</v>
      </c>
      <c r="N47" s="10" t="n">
        <v>37790</v>
      </c>
      <c r="O47" s="10" t="n">
        <v>50790</v>
      </c>
      <c r="P47" s="10" t="n">
        <v>66790</v>
      </c>
      <c r="Q47" s="10" t="n">
        <v>86790</v>
      </c>
      <c r="R47" s="10" t="n">
        <v>110790</v>
      </c>
      <c r="S47" s="10" t="n">
        <v>139790</v>
      </c>
      <c r="T47" s="10" t="n">
        <v>174790</v>
      </c>
      <c r="U47" s="10" t="n">
        <v>215790</v>
      </c>
      <c r="V47" s="10" t="n">
        <v>263790</v>
      </c>
      <c r="W47" s="10" t="n">
        <v>318790</v>
      </c>
      <c r="X47" s="10" t="n">
        <v>381790</v>
      </c>
      <c r="Y47" s="10" t="n">
        <v>453790</v>
      </c>
    </row>
    <row r="48"/>
    <row r="49"/>
    <row r="50">
      <c r="A50" s="26" t="inlineStr">
        <is>
          <t>HIGH-BAR TARGET SUMMARY</t>
        </is>
      </c>
    </row>
    <row r="51">
      <c r="A51" s="4" t="inlineStr">
        <is>
          <t>Year 1 Revenue (M1-M12)</t>
        </is>
      </c>
      <c r="B51" s="4" t="inlineStr">
        <is>
          <t>$929,144</t>
        </is>
      </c>
    </row>
    <row r="52">
      <c r="A52" s="4" t="inlineStr">
        <is>
          <t>Year 2 Revenue (M13-M24)</t>
        </is>
      </c>
      <c r="B52" s="4" t="inlineStr">
        <is>
          <t>$15,011,332</t>
        </is>
      </c>
    </row>
    <row r="53">
      <c r="A53" s="27" t="inlineStr">
        <is>
          <t>TOTAL 24-MONTH REVENUE</t>
        </is>
      </c>
      <c r="B53" s="27" t="inlineStr">
        <is>
          <t>$15,940,476</t>
        </is>
      </c>
    </row>
    <row r="54">
      <c r="A54" s="4" t="inlineStr">
        <is>
          <t>Month 24 Monthly Revenue</t>
        </is>
      </c>
      <c r="B54" s="4" t="inlineStr">
        <is>
          <t>$2,554,398</t>
        </is>
      </c>
    </row>
    <row r="55">
      <c r="A55" s="27" t="inlineStr">
        <is>
          <t>Month 24 Annualized Run Rate</t>
        </is>
      </c>
      <c r="B55" s="27" t="inlineStr">
        <is>
          <t>$30,652,776</t>
        </is>
      </c>
    </row>
    <row r="56">
      <c r="A56" s="9" t="inlineStr"/>
      <c r="B56" s="9" t="inlineStr"/>
    </row>
    <row r="57">
      <c r="A57" s="9" t="inlineStr">
        <is>
          <t>Year 1 EBITDA</t>
        </is>
      </c>
      <c r="B57" s="9" t="inlineStr">
        <is>
          <t>$5,684</t>
        </is>
      </c>
    </row>
    <row r="58">
      <c r="A58" s="9" t="inlineStr">
        <is>
          <t>Year 2 EBITDA</t>
        </is>
      </c>
      <c r="B58" s="9" t="inlineStr">
        <is>
          <t>$2,663,532</t>
        </is>
      </c>
    </row>
    <row r="59">
      <c r="A59" s="4" t="inlineStr">
        <is>
          <t>Total 24-Month EBITDA</t>
        </is>
      </c>
      <c r="B59" s="4" t="inlineStr">
        <is>
          <t>$2,669,216</t>
        </is>
      </c>
    </row>
    <row r="60">
      <c r="A60" s="9" t="inlineStr"/>
      <c r="B60" s="9" t="inlineStr"/>
    </row>
    <row r="61">
      <c r="A61" s="28" t="inlineStr">
        <is>
          <t>Total Debt Drawn</t>
        </is>
      </c>
      <c r="B61" s="28" t="inlineStr">
        <is>
          <t>$275,000</t>
        </is>
      </c>
    </row>
    <row r="62">
      <c r="A62" s="9" t="inlineStr">
        <is>
          <t>Month 24 Debt Balance</t>
        </is>
      </c>
      <c r="B62" s="9" t="inlineStr">
        <is>
          <t>$275,000</t>
        </is>
      </c>
    </row>
    <row r="63">
      <c r="A63" s="4" t="inlineStr">
        <is>
          <t>Month 24 Ending Cash</t>
        </is>
      </c>
      <c r="B63" s="4" t="inlineStr">
        <is>
          <t>$1,186,120</t>
        </is>
      </c>
    </row>
    <row r="64">
      <c r="A64" s="9" t="inlineStr">
        <is>
          <t>Total Customers (24 months)</t>
        </is>
      </c>
      <c r="B64" s="9" t="inlineStr">
        <is>
          <t>453,790</t>
        </is>
      </c>
    </row>
    <row r="65">
      <c r="A65" s="9" t="inlineStr"/>
      <c r="B65" s="9" t="inlineStr"/>
    </row>
    <row r="66">
      <c r="A66" s="29" t="inlineStr">
        <is>
          <t>DEBT TRIGGER SCHEDULE:</t>
        </is>
      </c>
      <c r="B66" s="29" t="inlineStr"/>
    </row>
    <row r="67">
      <c r="A67" s="28" t="inlineStr">
        <is>
          <t xml:space="preserve">  Month 6: Draw $50,000</t>
        </is>
      </c>
      <c r="B67" s="28" t="inlineStr">
        <is>
          <t>(cash was $6,807 before draw)</t>
        </is>
      </c>
    </row>
    <row r="68">
      <c r="A68" s="28" t="inlineStr">
        <is>
          <t xml:space="preserve">  Month 10: Draw $75,000</t>
        </is>
      </c>
      <c r="B68" s="28" t="inlineStr">
        <is>
          <t>(cash was $-33,422 before draw)</t>
        </is>
      </c>
    </row>
    <row r="69">
      <c r="A69" s="28" t="inlineStr">
        <is>
          <t xml:space="preserve">  Month 13: Draw $75,000</t>
        </is>
      </c>
      <c r="B69" s="28" t="inlineStr">
        <is>
          <t>(cash was $-34,424 before draw)</t>
        </is>
      </c>
    </row>
    <row r="70">
      <c r="A70" s="28" t="inlineStr">
        <is>
          <t xml:space="preserve">  Month 16: Draw $75,000</t>
        </is>
      </c>
      <c r="B70" s="28" t="inlineStr">
        <is>
          <t>(cash was $-18,930 before draw)</t>
        </is>
      </c>
    </row>
    <row r="71">
      <c r="A71" s="9" t="inlineStr">
        <is>
          <t xml:space="preserve">  • Strong product-market fit from Day 1</t>
        </is>
      </c>
      <c r="B71" s="9" t="inlineStr"/>
    </row>
    <row r="72">
      <c r="A72" s="9" t="inlineStr">
        <is>
          <t xml:space="preserve">  • CAC drops from $20 → $8 as organic/viral grows</t>
        </is>
      </c>
      <c r="B72" s="9" t="inlineStr"/>
    </row>
    <row r="73">
      <c r="A73" s="9" t="inlineStr">
        <is>
          <t xml:space="preserve">  • 35% repeat purchase rate by M12</t>
        </is>
      </c>
      <c r="B73" s="9" t="inlineStr"/>
    </row>
    <row r="74">
      <c r="A74" s="9" t="inlineStr">
        <is>
          <t xml:space="preserve">  • New flavor every 3-4 months boosting AOV</t>
        </is>
      </c>
      <c r="B74" s="9" t="inlineStr"/>
    </row>
    <row r="75">
      <c r="A75" s="9" t="inlineStr">
        <is>
          <t xml:space="preserve">  • No major supply chain disruptions</t>
        </is>
      </c>
      <c r="B75" s="9" t="inlineStr"/>
    </row>
    <row r="76">
      <c r="A76" s="9" t="inlineStr">
        <is>
          <t xml:space="preserve">  • Founder goes full-time from M1</t>
        </is>
      </c>
      <c r="B76" s="9" t="inlineStr"/>
    </row>
    <row r="77">
      <c r="A77" s="9" t="inlineStr">
        <is>
          <t xml:space="preserve">  • Hire ops help by M6, marketing by M9</t>
        </is>
      </c>
      <c r="B77" s="9" t="inlineStr"/>
    </row>
    <row r="78">
      <c r="A78" s="28" t="inlineStr">
        <is>
          <t xml:space="preserve">  • This is the CEILING — actual will likely be 50-70% of this</t>
        </is>
      </c>
      <c r="B78" s="28" t="inlineStr"/>
    </row>
    <row r="79"/>
    <row r="80"/>
    <row r="81"/>
    <row r="82"/>
    <row r="83"/>
    <row r="84"/>
    <row r="85"/>
    <row r="86"/>
    <row r="87"/>
    <row r="88"/>
    <row r="89"/>
    <row r="90"/>
    <row r="91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7D1"/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20" customWidth="1" min="3" max="3"/>
    <col width="25" customWidth="1" min="4" max="4"/>
  </cols>
  <sheetData>
    <row r="1">
      <c r="A1" s="1" t="inlineStr">
        <is>
          <t>SHROOMÉ — SCENARIO COMPARISON</t>
        </is>
      </c>
    </row>
    <row r="3">
      <c r="A3" s="36" t="inlineStr">
        <is>
          <t>Metric</t>
        </is>
      </c>
      <c r="B3" s="36" t="inlineStr">
        <is>
          <t>Conservative</t>
        </is>
      </c>
      <c r="C3" s="36" t="inlineStr">
        <is>
          <t>Base Case</t>
        </is>
      </c>
      <c r="D3" s="36" t="inlineStr">
        <is>
          <t>Optimistic (High Bar)</t>
        </is>
      </c>
    </row>
    <row r="4">
      <c r="A4" s="4" t="inlineStr">
        <is>
          <t>Year 1 Revenue</t>
        </is>
      </c>
      <c r="B4" s="37" t="inlineStr">
        <is>
          <t>$400K</t>
        </is>
      </c>
      <c r="C4" s="38" t="inlineStr">
        <is>
          <t>$900K</t>
        </is>
      </c>
      <c r="D4" s="39" t="inlineStr">
        <is>
          <t>$929K</t>
        </is>
      </c>
    </row>
    <row r="5">
      <c r="A5" s="4" t="inlineStr">
        <is>
          <t>Year 2 Revenue</t>
        </is>
      </c>
      <c r="B5" s="37" t="inlineStr">
        <is>
          <t>$3M</t>
        </is>
      </c>
      <c r="C5" s="38" t="inlineStr">
        <is>
          <t>$8M</t>
        </is>
      </c>
      <c r="D5" s="39" t="inlineStr">
        <is>
          <t>$15.0M</t>
        </is>
      </c>
    </row>
    <row r="6">
      <c r="A6" s="4" t="inlineStr">
        <is>
          <t>24-Month Total Revenue</t>
        </is>
      </c>
      <c r="B6" s="37" t="inlineStr">
        <is>
          <t>$3.5M</t>
        </is>
      </c>
      <c r="C6" s="38" t="inlineStr">
        <is>
          <t>$9M</t>
        </is>
      </c>
      <c r="D6" s="39" t="inlineStr">
        <is>
          <t>$15.9M</t>
        </is>
      </c>
    </row>
    <row r="7">
      <c r="A7" s="4" t="inlineStr">
        <is>
          <t>Month 24 ARR</t>
        </is>
      </c>
      <c r="B7" s="37" t="inlineStr">
        <is>
          <t>$6M</t>
        </is>
      </c>
      <c r="C7" s="38" t="inlineStr">
        <is>
          <t>$15M</t>
        </is>
      </c>
      <c r="D7" s="39" t="inlineStr">
        <is>
          <t>$30.7M</t>
        </is>
      </c>
    </row>
    <row r="8">
      <c r="A8" s="4" t="inlineStr">
        <is>
          <t>Total Customers (24mo)</t>
        </is>
      </c>
      <c r="B8" s="37" t="inlineStr">
        <is>
          <t>80K</t>
        </is>
      </c>
      <c r="C8" s="38" t="inlineStr">
        <is>
          <t>250K</t>
        </is>
      </c>
      <c r="D8" s="39" t="inlineStr">
        <is>
          <t>454K</t>
        </is>
      </c>
    </row>
    <row r="9">
      <c r="A9" s="4" t="inlineStr">
        <is>
          <t>Month 24 New Customers</t>
        </is>
      </c>
      <c r="B9" s="37" t="inlineStr">
        <is>
          <t>8,000</t>
        </is>
      </c>
      <c r="C9" s="38" t="inlineStr">
        <is>
          <t>30,000</t>
        </is>
      </c>
      <c r="D9" s="39" t="inlineStr">
        <is>
          <t>72,000</t>
        </is>
      </c>
    </row>
    <row r="10">
      <c r="A10" s="4" t="inlineStr">
        <is>
          <t>Avg CAC</t>
        </is>
      </c>
      <c r="B10" s="37" t="inlineStr">
        <is>
          <t>$18-25</t>
        </is>
      </c>
      <c r="C10" s="38" t="inlineStr">
        <is>
          <t>$12-18</t>
        </is>
      </c>
      <c r="D10" s="39" t="inlineStr">
        <is>
          <t>$8-20</t>
        </is>
      </c>
    </row>
    <row r="11">
      <c r="A11" s="4" t="inlineStr">
        <is>
          <t>Repeat Rate</t>
        </is>
      </c>
      <c r="B11" s="37" t="inlineStr">
        <is>
          <t>20%</t>
        </is>
      </c>
      <c r="C11" s="38" t="inlineStr">
        <is>
          <t>28%</t>
        </is>
      </c>
      <c r="D11" s="39" t="inlineStr">
        <is>
          <t>35%</t>
        </is>
      </c>
    </row>
    <row r="12">
      <c r="A12" s="4" t="inlineStr">
        <is>
          <t>Debt Required</t>
        </is>
      </c>
      <c r="B12" s="37" t="inlineStr">
        <is>
          <t>$50-100K</t>
        </is>
      </c>
      <c r="C12" s="38" t="inlineStr">
        <is>
          <t>$150-200K</t>
        </is>
      </c>
      <c r="D12" s="39" t="inlineStr">
        <is>
          <t>$275K</t>
        </is>
      </c>
    </row>
    <row r="13">
      <c r="A13" s="4" t="inlineStr">
        <is>
          <t>Month 24 Cash</t>
        </is>
      </c>
      <c r="B13" s="37" t="inlineStr">
        <is>
          <t>$150K+</t>
        </is>
      </c>
      <c r="C13" s="38" t="inlineStr">
        <is>
          <t>$500K+</t>
        </is>
      </c>
      <c r="D13" s="39" t="inlineStr">
        <is>
          <t>$1,186K</t>
        </is>
      </c>
    </row>
    <row r="14">
      <c r="A14" s="4" t="inlineStr">
        <is>
          <t>Breakeven Month</t>
        </is>
      </c>
      <c r="B14" s="37" t="inlineStr">
        <is>
          <t>M8-10</t>
        </is>
      </c>
      <c r="C14" s="38" t="inlineStr">
        <is>
          <t>M5-7</t>
        </is>
      </c>
      <c r="D14" s="39" t="inlineStr">
        <is>
          <t>M4-5</t>
        </is>
      </c>
    </row>
    <row r="15">
      <c r="A15" s="4" t="inlineStr">
        <is>
          <t>Probability</t>
        </is>
      </c>
      <c r="B15" s="37" t="inlineStr">
        <is>
          <t>HIGH (80%+)</t>
        </is>
      </c>
      <c r="C15" s="38" t="inlineStr">
        <is>
          <t>MODERATE (50%)</t>
        </is>
      </c>
      <c r="D15" s="39" t="inlineStr">
        <is>
          <t>STRETCH (25%)</t>
        </is>
      </c>
    </row>
    <row r="16"/>
    <row r="17"/>
    <row r="18"/>
    <row r="19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D4B8E0"/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SHROOMÉ — 10K SIGNUPS IN 60 DAYS</t>
        </is>
      </c>
    </row>
    <row r="3">
      <c r="A3" s="36" t="inlineStr">
        <is>
          <t>Channel</t>
        </is>
      </c>
      <c r="B3" s="36" t="inlineStr">
        <is>
          <t>Budget</t>
        </is>
      </c>
      <c r="C3" s="36" t="inlineStr">
        <is>
          <t>Signups</t>
        </is>
      </c>
      <c r="D3" s="36" t="inlineStr">
        <is>
          <t>Cost/Signup</t>
        </is>
      </c>
      <c r="E3" s="36" t="inlineStr">
        <is>
          <t>Timeline</t>
        </is>
      </c>
    </row>
    <row r="4">
      <c r="A4" s="9" t="inlineStr">
        <is>
          <t>Organic Social (TikTok/IG)</t>
        </is>
      </c>
      <c r="B4" s="9" t="inlineStr">
        <is>
          <t>$0</t>
        </is>
      </c>
      <c r="C4" s="9" t="inlineStr">
        <is>
          <t>2,000</t>
        </is>
      </c>
      <c r="D4" s="9" t="inlineStr">
        <is>
          <t>$0</t>
        </is>
      </c>
      <c r="E4" s="9" t="inlineStr">
        <is>
          <t>Weeks 1-8</t>
        </is>
      </c>
    </row>
    <row r="5">
      <c r="A5" s="9" t="inlineStr">
        <is>
          <t>Paid TikTok Ads</t>
        </is>
      </c>
      <c r="B5" s="9" t="inlineStr">
        <is>
          <t>$8,000</t>
        </is>
      </c>
      <c r="C5" s="9" t="inlineStr">
        <is>
          <t>2,500</t>
        </is>
      </c>
      <c r="D5" s="9" t="inlineStr">
        <is>
          <t>$3.20</t>
        </is>
      </c>
      <c r="E5" s="9" t="inlineStr">
        <is>
          <t>Weeks 2-8</t>
        </is>
      </c>
    </row>
    <row r="6">
      <c r="A6" s="9" t="inlineStr">
        <is>
          <t>Paid Meta (IG/FB)</t>
        </is>
      </c>
      <c r="B6" s="9" t="inlineStr">
        <is>
          <t>$6,000</t>
        </is>
      </c>
      <c r="C6" s="9" t="inlineStr">
        <is>
          <t>1,800</t>
        </is>
      </c>
      <c r="D6" s="9" t="inlineStr">
        <is>
          <t>$3.33</t>
        </is>
      </c>
      <c r="E6" s="9" t="inlineStr">
        <is>
          <t>Weeks 2-8</t>
        </is>
      </c>
    </row>
    <row r="7">
      <c r="A7" s="9" t="inlineStr">
        <is>
          <t>Influencer Seeding (50 kits)</t>
        </is>
      </c>
      <c r="B7" s="9" t="inlineStr">
        <is>
          <t>$3,000</t>
        </is>
      </c>
      <c r="C7" s="9" t="inlineStr">
        <is>
          <t>1,500</t>
        </is>
      </c>
      <c r="D7" s="9" t="inlineStr">
        <is>
          <t>$2.00</t>
        </is>
      </c>
      <c r="E7" s="9" t="inlineStr">
        <is>
          <t>Weeks 1-6</t>
        </is>
      </c>
    </row>
    <row r="8">
      <c r="A8" s="9" t="inlineStr">
        <is>
          <t>Referral Program</t>
        </is>
      </c>
      <c r="B8" s="9" t="inlineStr">
        <is>
          <t>$1,000</t>
        </is>
      </c>
      <c r="C8" s="9" t="inlineStr">
        <is>
          <t>800</t>
        </is>
      </c>
      <c r="D8" s="9" t="inlineStr">
        <is>
          <t>$1.25</t>
        </is>
      </c>
      <c r="E8" s="9" t="inlineStr">
        <is>
          <t>Weeks 3-8</t>
        </is>
      </c>
    </row>
    <row r="9">
      <c r="A9" s="9" t="inlineStr">
        <is>
          <t>Reddit/Forums</t>
        </is>
      </c>
      <c r="B9" s="9" t="inlineStr">
        <is>
          <t>$0</t>
        </is>
      </c>
      <c r="C9" s="9" t="inlineStr">
        <is>
          <t>500</t>
        </is>
      </c>
      <c r="D9" s="9" t="inlineStr">
        <is>
          <t>$0</t>
        </is>
      </c>
      <c r="E9" s="9" t="inlineStr">
        <is>
          <t>Weeks 1-8</t>
        </is>
      </c>
    </row>
    <row r="10">
      <c r="A10" s="9" t="inlineStr">
        <is>
          <t>Email Partnerships</t>
        </is>
      </c>
      <c r="B10" s="9" t="inlineStr">
        <is>
          <t>$2,000</t>
        </is>
      </c>
      <c r="C10" s="9" t="inlineStr">
        <is>
          <t>600</t>
        </is>
      </c>
      <c r="D10" s="9" t="inlineStr">
        <is>
          <t>$3.33</t>
        </is>
      </c>
      <c r="E10" s="9" t="inlineStr">
        <is>
          <t>Weeks 4-8</t>
        </is>
      </c>
    </row>
    <row r="11">
      <c r="A11" s="9" t="inlineStr">
        <is>
          <t>Giveaway/Contest</t>
        </is>
      </c>
      <c r="B11" s="9" t="inlineStr">
        <is>
          <t>$1,000</t>
        </is>
      </c>
      <c r="C11" s="9" t="inlineStr">
        <is>
          <t>300</t>
        </is>
      </c>
      <c r="D11" s="9" t="inlineStr">
        <is>
          <t>$3.33</t>
        </is>
      </c>
      <c r="E11" s="9" t="inlineStr">
        <is>
          <t>Weeks 2-4</t>
        </is>
      </c>
    </row>
    <row r="12">
      <c r="A12" s="11" t="inlineStr">
        <is>
          <t>TOTAL</t>
        </is>
      </c>
      <c r="B12" s="11" t="inlineStr">
        <is>
          <t>$21,000</t>
        </is>
      </c>
      <c r="C12" s="11" t="inlineStr">
        <is>
          <t>10,000</t>
        </is>
      </c>
      <c r="D12" s="11" t="inlineStr">
        <is>
          <t>$2.10</t>
        </is>
      </c>
      <c r="E12" s="11" t="inlineStr">
        <is>
          <t>60 days</t>
        </is>
      </c>
    </row>
    <row r="15">
      <c r="A15" s="31" t="inlineStr">
        <is>
          <t>$50K BUDGET ALLOCATION</t>
        </is>
      </c>
    </row>
    <row r="16">
      <c r="A16" s="9" t="inlineStr">
        <is>
          <t>Pre-launch marketing</t>
        </is>
      </c>
      <c r="B16" s="9" t="inlineStr">
        <is>
          <t>$21,000</t>
        </is>
      </c>
    </row>
    <row r="17">
      <c r="A17" s="9" t="inlineStr">
        <is>
          <t>Initial inventory (2,500 boxes × $9)</t>
        </is>
      </c>
      <c r="B17" s="9" t="inlineStr">
        <is>
          <t>$22,500</t>
        </is>
      </c>
    </row>
    <row r="18">
      <c r="A18" s="9" t="inlineStr">
        <is>
          <t>Affiliate kits (200 boxes)</t>
        </is>
      </c>
      <c r="B18" s="9" t="inlineStr">
        <is>
          <t>$1,800</t>
        </is>
      </c>
    </row>
    <row r="19">
      <c r="A19" s="9" t="inlineStr">
        <is>
          <t>Marketing giveaway (100 boxes)</t>
        </is>
      </c>
      <c r="B19" s="9" t="inlineStr">
        <is>
          <t>$900</t>
        </is>
      </c>
    </row>
    <row r="20">
      <c r="A20" s="9" t="inlineStr">
        <is>
          <t>Legal / compliance</t>
        </is>
      </c>
      <c r="B20" s="9" t="inlineStr">
        <is>
          <t>$2,000</t>
        </is>
      </c>
    </row>
    <row r="21">
      <c r="A21" s="9" t="inlineStr">
        <is>
          <t>Software &amp; tools (2 months)</t>
        </is>
      </c>
      <c r="B21" s="9" t="inlineStr">
        <is>
          <t>$400</t>
        </is>
      </c>
    </row>
    <row r="22">
      <c r="A22" s="9" t="inlineStr">
        <is>
          <t>Reserve / contingency</t>
        </is>
      </c>
      <c r="B22" s="9" t="inlineStr">
        <is>
          <t>$1,400</t>
        </is>
      </c>
    </row>
    <row r="23">
      <c r="A23" s="11" t="inlineStr">
        <is>
          <t>TOTAL</t>
        </is>
      </c>
      <c r="B23" s="11" t="inlineStr">
        <is>
          <t>$50,000</t>
        </is>
      </c>
    </row>
    <row r="24"/>
    <row r="25"/>
    <row r="26"/>
    <row r="27"/>
    <row r="28"/>
    <row r="29"/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FF7043"/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70" customWidth="1" min="3" max="3"/>
  </cols>
  <sheetData>
    <row r="1">
      <c r="A1" s="1" t="inlineStr">
        <is>
          <t>SHROOMÉ — RISKS &amp; KEY LEVERS</t>
        </is>
      </c>
    </row>
    <row r="3">
      <c r="A3" s="40" t="inlineStr">
        <is>
          <t>TOP RISKS</t>
        </is>
      </c>
    </row>
    <row r="4">
      <c r="A4" s="4" t="inlineStr">
        <is>
          <t>Cash runway</t>
        </is>
      </c>
      <c r="B4" s="28" t="inlineStr">
        <is>
          <t>HIGH</t>
        </is>
      </c>
      <c r="C4" s="41" t="inlineStr">
        <is>
          <t>Only $6.5K reserve after launch. One bad month = crisis.</t>
        </is>
      </c>
    </row>
    <row r="5">
      <c r="A5" s="4" t="inlineStr">
        <is>
          <t>CAC inflation</t>
        </is>
      </c>
      <c r="B5" s="28" t="inlineStr">
        <is>
          <t>HIGH</t>
        </is>
      </c>
      <c r="C5" s="41" t="inlineStr">
        <is>
          <t>Meta/TikTok CPMs rising 15-20% YoY. If CAC &gt;$30, unit economics break.</t>
        </is>
      </c>
    </row>
    <row r="6">
      <c r="A6" s="4" t="inlineStr">
        <is>
          <t>Low repeat rate</t>
        </is>
      </c>
      <c r="B6" s="28" t="inlineStr">
        <is>
          <t>HIGH</t>
        </is>
      </c>
      <c r="C6" s="41" t="inlineStr">
        <is>
          <t>If &lt;20%, you're on acquisition treadmill. Subscription is critical.</t>
        </is>
      </c>
    </row>
    <row r="7">
      <c r="A7" s="4" t="inlineStr">
        <is>
          <t>Inventory timing</t>
        </is>
      </c>
      <c r="B7" s="42" t="inlineStr">
        <is>
          <t>MEDIUM</t>
        </is>
      </c>
      <c r="C7" s="41" t="inlineStr">
        <is>
          <t>6-week lead time + MOQ. Stockout = lost momentum.</t>
        </is>
      </c>
    </row>
    <row r="8">
      <c r="A8" s="4" t="inlineStr">
        <is>
          <t>Flavor risk</t>
        </is>
      </c>
      <c r="B8" s="42" t="inlineStr">
        <is>
          <t>MEDIUM</t>
        </is>
      </c>
      <c r="C8" s="41" t="inlineStr">
        <is>
          <t>New flavors cost $11K+ per MOQ. Flop = dead inventory.</t>
        </is>
      </c>
    </row>
    <row r="11">
      <c r="A11" s="43" t="inlineStr">
        <is>
          <t>KEY LEVERS (priority order)</t>
        </is>
      </c>
    </row>
    <row r="12">
      <c r="A12" s="4" t="inlineStr">
        <is>
          <t>1. Subscription rate</t>
        </is>
      </c>
      <c r="B12" s="9" t="inlineStr">
        <is>
          <t>Target 30%+ by M6. #1 lever for LTV.</t>
        </is>
      </c>
    </row>
    <row r="13">
      <c r="A13" s="4" t="inlineStr">
        <is>
          <t>2. CAC efficiency</t>
        </is>
      </c>
      <c r="B13" s="9" t="inlineStr">
        <is>
          <t>Keep &lt;$25. Kill channels &gt;$30. Double down on organic.</t>
        </is>
      </c>
    </row>
    <row r="14">
      <c r="A14" s="4" t="inlineStr">
        <is>
          <t>3. Repeat rate</t>
        </is>
      </c>
      <c r="B14" s="9" t="inlineStr">
        <is>
          <t>Target 25% within 90 days. Use Day 7 email + Day 30 SMS.</t>
        </is>
      </c>
    </row>
    <row r="15">
      <c r="A15" s="4" t="inlineStr">
        <is>
          <t>4. New flavor drops</t>
        </is>
      </c>
      <c r="B15" s="9" t="inlineStr">
        <is>
          <t>1 new flavor every 3-4 months = AOV boost via variety packs.</t>
        </is>
      </c>
    </row>
    <row r="16">
      <c r="A16" s="4" t="inlineStr">
        <is>
          <t>5. Affiliate network</t>
        </is>
      </c>
      <c r="B16" s="9" t="inlineStr">
        <is>
          <t>20% commission drives volume. Track CAC per affiliate.</t>
        </is>
      </c>
    </row>
    <row r="17">
      <c r="A17" s="4" t="inlineStr">
        <is>
          <t>6. Email/SMS revenue</t>
        </is>
      </c>
      <c r="B17" s="9" t="inlineStr">
        <is>
          <t>Should be 25-40% of total. Nearly free channel.</t>
        </is>
      </c>
    </row>
    <row r="18">
      <c r="A18" s="4" t="inlineStr">
        <is>
          <t>7. Variety pack AOV</t>
        </is>
      </c>
      <c r="B18" s="9" t="inlineStr">
        <is>
          <t>3+ flavors → $42-48 variety packs. Lifts AOV 15-30%.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2026-03-18T19:06:13Z</dcterms:created>
  <dcterms:modified xmlns:dcterms="http://purl.org/dc/terms/" xmlns:xsi="http://www.w3.org/2001/XMLSchema-instance" xsi:type="dcterms:W3CDTF">2026-03-18T19:14:14Z</dcterms:modified>
</cp:coreProperties>
</file>