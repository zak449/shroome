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16380" windowHeight="8200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 Reference" sheetId="2" state="visible" r:id="rId2"/>
    <sheet xmlns:r="http://schemas.openxmlformats.org/officeDocument/2006/relationships" name="Master SKU List" sheetId="3" state="visible" r:id="rId3"/>
    <sheet xmlns:r="http://schemas.openxmlformats.org/officeDocument/2006/relationships" name="Generator" sheetId="4" state="visible" r:id="rId4"/>
    <sheet xmlns:r="http://schemas.openxmlformats.org/officeDocument/2006/relationships" name="Barcode Guide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\$#,##0.00;&quot;($&quot;#,##0.00\);\-"/>
    <numFmt numFmtId="165" formatCode="0.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2F5496"/>
      <sz val="18"/>
    </font>
    <font>
      <name val="Arial"/>
      <family val="2"/>
      <i val="1"/>
      <color rgb="FF595959"/>
      <sz val="11"/>
    </font>
    <font>
      <name val="Arial"/>
      <family val="2"/>
      <color theme="1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rgb="FF2F5496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006100"/>
      <sz val="11"/>
    </font>
    <font>
      <name val="Arial"/>
      <family val="2"/>
      <b val="1"/>
      <color rgb="FF2F5496"/>
      <sz val="16"/>
    </font>
    <font>
      <name val="Arial"/>
      <family val="2"/>
      <i val="1"/>
      <color rgb="FF595959"/>
      <sz val="10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C00000"/>
      <sz val="13"/>
    </font>
    <font>
      <name val="Arial"/>
      <b val="1"/>
      <color rgb="00FFFFFF"/>
    </font>
    <font>
      <name val="Arial"/>
      <sz val="10"/>
    </font>
    <font>
      <name val="Arial"/>
    </font>
    <font>
      <name val="Arial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FF2F549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35">
    <xf numFmtId="0" fontId="0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11" fillId="0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15" fillId="6" borderId="2" applyAlignment="1" pivotButton="0" quotePrefix="0" xfId="0">
      <alignment horizontal="center" vertical="center"/>
    </xf>
    <xf numFmtId="49" fontId="16" fillId="7" borderId="3" applyAlignment="1" pivotButton="0" quotePrefix="0" xfId="0">
      <alignment horizontal="center"/>
    </xf>
    <xf numFmtId="0" fontId="17" fillId="0" borderId="4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zoomScaleNormal="100" workbookViewId="0">
      <selection activeCell="A1" sqref="A1:G1"/>
    </sheetView>
  </sheetViews>
  <sheetFormatPr baseColWidth="10" defaultColWidth="8.6640625" defaultRowHeight="15"/>
  <cols>
    <col width="24" customWidth="1" min="1" max="1"/>
    <col width="70" customWidth="1" min="2" max="2"/>
    <col width="12" customWidth="1" min="3" max="7"/>
  </cols>
  <sheetData>
    <row r="1" ht="23" customHeight="1">
      <c r="A1" s="6" t="inlineStr">
        <is>
          <t>shroomé — SKU &amp; Barcode Master</t>
        </is>
      </c>
    </row>
    <row r="2">
      <c r="A2" s="5" t="inlineStr">
        <is>
          <t>Source-of-truth SKU system for shroomé product line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8" t="n"/>
      <c r="B4" s="9" t="n"/>
      <c r="C4" s="7" t="n"/>
      <c r="D4" s="7" t="n"/>
      <c r="E4" s="7" t="n"/>
      <c r="F4" s="7" t="n"/>
      <c r="G4" s="7" t="n"/>
    </row>
    <row r="5" ht="16" customHeight="1">
      <c r="A5" s="10" t="inlineStr">
        <is>
          <t>SKU STRUCTURE</t>
        </is>
      </c>
      <c r="B5" s="11" t="n"/>
      <c r="C5" s="7" t="n"/>
      <c r="D5" s="7" t="n"/>
      <c r="E5" s="7" t="n"/>
      <c r="F5" s="7" t="n"/>
      <c r="G5" s="7" t="n"/>
    </row>
    <row r="6">
      <c r="A6" s="8" t="inlineStr">
        <is>
          <t>Pattern</t>
        </is>
      </c>
      <c r="B6" s="9" t="inlineStr">
        <is>
          <t>SHR-[CATEGORY]-[FLAVOR]-[PACK QTY]</t>
        </is>
      </c>
      <c r="C6" s="7" t="n"/>
      <c r="D6" s="7" t="n"/>
      <c r="E6" s="7" t="n"/>
      <c r="F6" s="7" t="n"/>
      <c r="G6" s="7" t="n"/>
    </row>
    <row r="7">
      <c r="A7" s="8" t="inlineStr">
        <is>
          <t>Brand prefix</t>
        </is>
      </c>
      <c r="B7" s="9" t="inlineStr">
        <is>
          <t>SHR (fixed for all shroomé products)</t>
        </is>
      </c>
      <c r="C7" s="7" t="n"/>
      <c r="D7" s="7" t="n"/>
      <c r="E7" s="7" t="n"/>
      <c r="F7" s="7" t="n"/>
      <c r="G7" s="7" t="n"/>
    </row>
    <row r="8">
      <c r="A8" s="8" t="inlineStr">
        <is>
          <t>Category code</t>
        </is>
      </c>
      <c r="B8" s="9" t="inlineStr">
        <is>
          <t>3-letter — see Code Reference tab</t>
        </is>
      </c>
      <c r="C8" s="7" t="n"/>
      <c r="D8" s="7" t="n"/>
      <c r="E8" s="7" t="n"/>
      <c r="F8" s="7" t="n"/>
      <c r="G8" s="7" t="n"/>
    </row>
    <row r="9">
      <c r="A9" s="8" t="inlineStr">
        <is>
          <t>Flavor code</t>
        </is>
      </c>
      <c r="B9" s="9" t="inlineStr">
        <is>
          <t>3-letter — see Code Reference tab</t>
        </is>
      </c>
      <c r="C9" s="7" t="n"/>
      <c r="D9" s="7" t="n"/>
      <c r="E9" s="7" t="n"/>
      <c r="F9" s="7" t="n"/>
      <c r="G9" s="7" t="n"/>
    </row>
    <row r="10">
      <c r="A10" s="8" t="inlineStr">
        <is>
          <t>Pack qty</t>
        </is>
      </c>
      <c r="B10" s="9" t="inlineStr">
        <is>
          <t>Number of units at that level (01, 06, 12, 24…)</t>
        </is>
      </c>
      <c r="C10" s="7" t="n"/>
      <c r="D10" s="7" t="n"/>
      <c r="E10" s="7" t="n"/>
      <c r="F10" s="7" t="n"/>
      <c r="G10" s="7" t="n"/>
    </row>
    <row r="11">
      <c r="A11" s="8" t="inlineStr">
        <is>
          <t>Example</t>
        </is>
      </c>
      <c r="B11" s="9" t="inlineStr">
        <is>
          <t>SHR-BOX-VAN-12 = Vanilla retail box of 12 sachets</t>
        </is>
      </c>
      <c r="C11" s="7" t="n"/>
      <c r="D11" s="7" t="n"/>
      <c r="E11" s="7" t="n"/>
      <c r="F11" s="7" t="n"/>
      <c r="G11" s="7" t="n"/>
    </row>
    <row r="12">
      <c r="A12" s="8" t="n"/>
      <c r="B12" s="9" t="n"/>
      <c r="C12" s="7" t="n"/>
      <c r="D12" s="7" t="n"/>
      <c r="E12" s="7" t="n"/>
      <c r="F12" s="7" t="n"/>
      <c r="G12" s="7" t="n"/>
    </row>
    <row r="13" ht="16" customHeight="1">
      <c r="A13" s="10" t="inlineStr">
        <is>
          <t>WORKFLOW</t>
        </is>
      </c>
      <c r="B13" s="11" t="n"/>
      <c r="C13" s="7" t="n"/>
      <c r="D13" s="7" t="n"/>
      <c r="E13" s="7" t="n"/>
      <c r="F13" s="7" t="n"/>
      <c r="G13" s="7" t="n"/>
    </row>
    <row r="14">
      <c r="A14" s="8" t="inlineStr">
        <is>
          <t>1. Master List tab</t>
        </is>
      </c>
      <c r="B14" s="9" t="inlineStr">
        <is>
          <t>Single source of truth — every SKU lives here</t>
        </is>
      </c>
      <c r="C14" s="7" t="n"/>
      <c r="D14" s="7" t="n"/>
      <c r="E14" s="7" t="n"/>
      <c r="F14" s="7" t="n"/>
      <c r="G14" s="7" t="n"/>
    </row>
    <row r="15">
      <c r="A15" s="8" t="inlineStr">
        <is>
          <t>2. Generator tab</t>
        </is>
      </c>
      <c r="B15" s="9" t="inlineStr">
        <is>
          <t>Type a flavor + pack count → auto-builds the SKU</t>
        </is>
      </c>
      <c r="C15" s="7" t="n"/>
      <c r="D15" s="7" t="n"/>
      <c r="E15" s="7" t="n"/>
      <c r="F15" s="7" t="n"/>
      <c r="G15" s="7" t="n"/>
    </row>
    <row r="16">
      <c r="A16" s="8" t="inlineStr">
        <is>
          <t>3. Code Reference tab</t>
        </is>
      </c>
      <c r="B16" s="9" t="inlineStr">
        <is>
          <t>Locked category codes + flavor codes</t>
        </is>
      </c>
      <c r="C16" s="7" t="n"/>
      <c r="D16" s="7" t="n"/>
      <c r="E16" s="7" t="n"/>
      <c r="F16" s="7" t="n"/>
      <c r="G16" s="7" t="n"/>
    </row>
    <row r="17">
      <c r="A17" s="8" t="inlineStr">
        <is>
          <t>4. Barcode Guide tab</t>
        </is>
      </c>
      <c r="B17" s="9" t="inlineStr">
        <is>
          <t>How to make SKUs scannable for retail vs warehouse</t>
        </is>
      </c>
      <c r="C17" s="7" t="n"/>
      <c r="D17" s="7" t="n"/>
      <c r="E17" s="7" t="n"/>
      <c r="F17" s="7" t="n"/>
      <c r="G17" s="7" t="n"/>
    </row>
    <row r="18">
      <c r="A18" s="8" t="n"/>
      <c r="B18" s="9" t="n"/>
      <c r="C18" s="7" t="n"/>
      <c r="D18" s="7" t="n"/>
      <c r="E18" s="7" t="n"/>
      <c r="F18" s="7" t="n"/>
      <c r="G18" s="7" t="n"/>
    </row>
    <row r="19">
      <c r="A19" s="8" t="inlineStr">
        <is>
          <t>DOWNSTREAM SYSTEMS</t>
        </is>
      </c>
      <c r="B19" s="9" t="inlineStr">
        <is>
          <t>Push SKUs from Master List into:</t>
        </is>
      </c>
      <c r="C19" s="7" t="n"/>
      <c r="D19" s="7" t="n"/>
      <c r="E19" s="7" t="n"/>
      <c r="F19" s="7" t="n"/>
      <c r="G19" s="7" t="n"/>
    </row>
    <row r="20">
      <c r="A20" s="8" t="inlineStr">
        <is>
          <t xml:space="preserve">  • Shopify</t>
        </is>
      </c>
      <c r="B20" s="9" t="inlineStr">
        <is>
          <t>Product SKU field (variants = individual boxes; parent = flavor)</t>
        </is>
      </c>
      <c r="C20" s="7" t="n"/>
      <c r="D20" s="7" t="n"/>
      <c r="E20" s="7" t="n"/>
      <c r="F20" s="7" t="n"/>
      <c r="G20" s="7" t="n"/>
    </row>
    <row r="21">
      <c r="A21" s="8" t="inlineStr">
        <is>
          <t xml:space="preserve">  • QuickBooks Online</t>
        </is>
      </c>
      <c r="B21" s="9" t="inlineStr">
        <is>
          <t>Products &amp; Services → SKU field</t>
        </is>
      </c>
      <c r="C21" s="7" t="n"/>
      <c r="D21" s="7" t="n"/>
      <c r="E21" s="7" t="n"/>
      <c r="F21" s="7" t="n"/>
      <c r="G21" s="7" t="n"/>
    </row>
    <row r="22">
      <c r="A22" s="8" t="inlineStr">
        <is>
          <t xml:space="preserve">  • 3PL / WMS</t>
        </is>
      </c>
      <c r="B22" s="9" t="inlineStr">
        <is>
          <t>Whatever your fulfillment partner uses for item master</t>
        </is>
      </c>
      <c r="C22" s="7" t="n"/>
      <c r="D22" s="7" t="n"/>
      <c r="E22" s="7" t="n"/>
      <c r="F22" s="7" t="n"/>
      <c r="G22" s="7" t="n"/>
    </row>
    <row r="23">
      <c r="A23" s="8" t="inlineStr">
        <is>
          <t xml:space="preserve">  • Amazon / retailers</t>
        </is>
      </c>
      <c r="B23" s="9" t="inlineStr">
        <is>
          <t>They'll also want UPC (see Barcode Guide)</t>
        </is>
      </c>
      <c r="C23" s="7" t="n"/>
      <c r="D23" s="7" t="n"/>
      <c r="E23" s="7" t="n"/>
      <c r="F23" s="7" t="n"/>
      <c r="G23" s="7" t="n"/>
    </row>
    <row r="24">
      <c r="A24" s="8" t="n"/>
      <c r="B24" s="9" t="n"/>
      <c r="C24" s="7" t="n"/>
      <c r="D24" s="7" t="n"/>
      <c r="E24" s="7" t="n"/>
      <c r="F24" s="7" t="n"/>
      <c r="G24" s="7" t="n"/>
    </row>
    <row r="25" ht="16" customHeight="1">
      <c r="A25" s="10" t="inlineStr">
        <is>
          <t>COLOR KEY</t>
        </is>
      </c>
      <c r="B25" s="11" t="n"/>
      <c r="C25" s="7" t="n"/>
      <c r="D25" s="7" t="n"/>
      <c r="E25" s="7" t="n"/>
      <c r="F25" s="7" t="n"/>
      <c r="G25" s="7" t="n"/>
    </row>
    <row r="26">
      <c r="A26" s="8" t="inlineStr">
        <is>
          <t>Blue text</t>
        </is>
      </c>
      <c r="B26" s="9" t="inlineStr">
        <is>
          <t>Input cell — type/change values here</t>
        </is>
      </c>
      <c r="C26" s="7" t="n"/>
      <c r="D26" s="7" t="n"/>
      <c r="E26" s="7" t="n"/>
      <c r="F26" s="7" t="n"/>
      <c r="G26" s="7" t="n"/>
    </row>
    <row r="27">
      <c r="A27" s="8" t="inlineStr">
        <is>
          <t>Black text</t>
        </is>
      </c>
      <c r="B27" s="9" t="inlineStr">
        <is>
          <t>Formula — do not overwrite</t>
        </is>
      </c>
      <c r="C27" s="7" t="n"/>
      <c r="D27" s="7" t="n"/>
      <c r="E27" s="7" t="n"/>
      <c r="F27" s="7" t="n"/>
      <c r="G27" s="7" t="n"/>
    </row>
    <row r="28">
      <c r="A28" s="8" t="inlineStr">
        <is>
          <t>Yellow fill</t>
        </is>
      </c>
      <c r="B28" s="9" t="inlineStr">
        <is>
          <t>Assumption that needs confirmation or to be filled in</t>
        </is>
      </c>
      <c r="C28" s="7" t="n"/>
      <c r="D28" s="7" t="n"/>
      <c r="E28" s="7" t="n"/>
      <c r="F28" s="7" t="n"/>
      <c r="G28" s="7" t="n"/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zoomScaleNormal="100" workbookViewId="0">
      <selection activeCell="A1" sqref="A1"/>
    </sheetView>
  </sheetViews>
  <sheetFormatPr baseColWidth="10" defaultColWidth="8.6640625" defaultRowHeight="15"/>
  <cols>
    <col width="30" customWidth="1" min="1" max="1"/>
    <col width="12" customWidth="1" min="2" max="2"/>
    <col width="42" customWidth="1" min="3" max="3"/>
  </cols>
  <sheetData>
    <row r="1" ht="16" customHeight="1">
      <c r="A1" s="10" t="inlineStr">
        <is>
          <t>Category Codes</t>
        </is>
      </c>
    </row>
    <row r="2">
      <c r="A2" s="12" t="inlineStr">
        <is>
          <t>Category</t>
        </is>
      </c>
      <c r="B2" s="12" t="inlineStr">
        <is>
          <t>Code</t>
        </is>
      </c>
      <c r="C2" s="12" t="inlineStr">
        <is>
          <t>Description</t>
        </is>
      </c>
    </row>
    <row r="3">
      <c r="A3" s="13" t="inlineStr">
        <is>
          <t>Sachet (single)</t>
        </is>
      </c>
      <c r="B3" s="14" t="inlineStr">
        <is>
          <t>SCH</t>
        </is>
      </c>
      <c r="C3" s="13" t="inlineStr">
        <is>
          <t>Individual powder sachet (eaches)</t>
        </is>
      </c>
    </row>
    <row r="4">
      <c r="A4" s="13" t="inlineStr">
        <is>
          <t>Retail Box</t>
        </is>
      </c>
      <c r="B4" s="14" t="inlineStr">
        <is>
          <t>BOX</t>
        </is>
      </c>
      <c r="C4" s="13" t="inlineStr">
        <is>
          <t>Consumer box containing N sachets</t>
        </is>
      </c>
    </row>
    <row r="5">
      <c r="A5" s="13" t="inlineStr">
        <is>
          <t>Tray / Case</t>
        </is>
      </c>
      <c r="B5" s="14" t="inlineStr">
        <is>
          <t>TRY</t>
        </is>
      </c>
      <c r="C5" s="13" t="inlineStr">
        <is>
          <t>Master case of retail boxes</t>
        </is>
      </c>
    </row>
    <row r="6">
      <c r="A6" s="13" t="inlineStr">
        <is>
          <t>Pallet</t>
        </is>
      </c>
      <c r="B6" s="14" t="inlineStr">
        <is>
          <t>PLT</t>
        </is>
      </c>
      <c r="C6" s="13" t="inlineStr">
        <is>
          <t>Full pallet (whole-sale / distribution)</t>
        </is>
      </c>
    </row>
    <row r="7">
      <c r="A7" s="13" t="inlineStr">
        <is>
          <t>Keychain</t>
        </is>
      </c>
      <c r="B7" s="14" t="inlineStr">
        <is>
          <t>KCH</t>
        </is>
      </c>
      <c r="C7" s="13" t="inlineStr">
        <is>
          <t>Individual keychain unit</t>
        </is>
      </c>
    </row>
    <row r="8">
      <c r="A8" s="13" t="inlineStr">
        <is>
          <t>Eye Gel</t>
        </is>
      </c>
      <c r="B8" s="14" t="inlineStr">
        <is>
          <t>EYG</t>
        </is>
      </c>
      <c r="C8" s="13" t="inlineStr">
        <is>
          <t>Under-eye gel patches</t>
        </is>
      </c>
    </row>
    <row r="9">
      <c r="A9" s="13" t="inlineStr">
        <is>
          <t>Merch / Other</t>
        </is>
      </c>
      <c r="B9" s="14" t="inlineStr">
        <is>
          <t>MRC</t>
        </is>
      </c>
      <c r="C9" s="13" t="inlineStr">
        <is>
          <t>Stickers, hats, non-consumable merch</t>
        </is>
      </c>
    </row>
    <row r="10">
      <c r="A10" s="7" t="n"/>
      <c r="B10" s="7" t="n"/>
      <c r="C10" s="7" t="n"/>
    </row>
    <row r="11">
      <c r="A11" s="7" t="n"/>
      <c r="B11" s="7" t="n"/>
      <c r="C11" s="7" t="n"/>
    </row>
    <row r="12" ht="16" customHeight="1">
      <c r="A12" s="10" t="inlineStr">
        <is>
          <t>Flavor Codes</t>
        </is>
      </c>
    </row>
    <row r="13">
      <c r="A13" s="12" t="inlineStr">
        <is>
          <t>Flavor</t>
        </is>
      </c>
      <c r="B13" s="12" t="inlineStr">
        <is>
          <t>Code</t>
        </is>
      </c>
      <c r="C13" s="12" t="inlineStr">
        <is>
          <t>Status</t>
        </is>
      </c>
    </row>
    <row r="14">
      <c r="A14" s="13" t="inlineStr">
        <is>
          <t>Vanilla</t>
        </is>
      </c>
      <c r="B14" s="14" t="inlineStr">
        <is>
          <t>VAN</t>
        </is>
      </c>
      <c r="C14" s="15" t="inlineStr">
        <is>
          <t>LAUNCH</t>
        </is>
      </c>
    </row>
    <row r="15">
      <c r="A15" s="13" t="inlineStr">
        <is>
          <t>Strawberry</t>
        </is>
      </c>
      <c r="B15" s="14" t="inlineStr">
        <is>
          <t>STR</t>
        </is>
      </c>
      <c r="C15" s="15" t="inlineStr">
        <is>
          <t>LAUNCH</t>
        </is>
      </c>
    </row>
    <row r="16">
      <c r="A16" s="13" t="inlineStr">
        <is>
          <t>Mango</t>
        </is>
      </c>
      <c r="B16" s="14" t="inlineStr">
        <is>
          <t>MNG</t>
        </is>
      </c>
      <c r="C16" s="13" t="inlineStr">
        <is>
          <t>Reserved</t>
        </is>
      </c>
    </row>
    <row r="17">
      <c r="A17" s="13" t="inlineStr">
        <is>
          <t>Berry Blend</t>
        </is>
      </c>
      <c r="B17" s="14" t="inlineStr">
        <is>
          <t>BRY</t>
        </is>
      </c>
      <c r="C17" s="13" t="inlineStr">
        <is>
          <t>Reserved</t>
        </is>
      </c>
    </row>
    <row r="18">
      <c r="A18" s="13" t="inlineStr">
        <is>
          <t>Chocolate</t>
        </is>
      </c>
      <c r="B18" s="14" t="inlineStr">
        <is>
          <t>CHO</t>
        </is>
      </c>
      <c r="C18" s="13" t="inlineStr">
        <is>
          <t>Reserved</t>
        </is>
      </c>
    </row>
    <row r="19">
      <c r="A19" s="13" t="inlineStr">
        <is>
          <t>Lemon</t>
        </is>
      </c>
      <c r="B19" s="14" t="inlineStr">
        <is>
          <t>LMN</t>
        </is>
      </c>
      <c r="C19" s="13" t="inlineStr">
        <is>
          <t>Reserved</t>
        </is>
      </c>
    </row>
    <row r="20">
      <c r="A20" s="13" t="inlineStr">
        <is>
          <t>Matcha</t>
        </is>
      </c>
      <c r="B20" s="14" t="inlineStr">
        <is>
          <t>MCH</t>
        </is>
      </c>
      <c r="C20" s="13" t="inlineStr">
        <is>
          <t>Reserved</t>
        </is>
      </c>
    </row>
    <row r="21">
      <c r="A21" s="13" t="inlineStr">
        <is>
          <t>N/A (non-flavor product)</t>
        </is>
      </c>
      <c r="B21" s="14" t="inlineStr">
        <is>
          <t>XXX</t>
        </is>
      </c>
      <c r="C21" s="13" t="inlineStr">
        <is>
          <t>Use for keychains, eye gels, merch</t>
        </is>
      </c>
    </row>
  </sheetData>
  <mergeCells count="2">
    <mergeCell ref="A1:C1"/>
    <mergeCell ref="A12:C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20" customWidth="1" min="1" max="1"/>
    <col width="40" customWidth="1" min="2" max="2"/>
    <col width="11" customWidth="1" min="3" max="3"/>
    <col width="10" customWidth="1" min="4" max="4"/>
    <col width="15" customWidth="1" min="5" max="5"/>
    <col width="10" customWidth="1" min="6" max="6"/>
    <col width="16" customWidth="1" min="7" max="7"/>
    <col width="20" customWidth="1" min="8" max="8"/>
    <col width="11" customWidth="1" min="9" max="9"/>
    <col width="12" customWidth="1" min="10" max="11"/>
    <col width="11" customWidth="1" min="12" max="12"/>
    <col width="10" customWidth="1" min="13" max="13"/>
    <col width="42" customWidth="1" min="14" max="14"/>
    <col width="20" customWidth="1" min="15" max="15"/>
    <col width="22" customWidth="1" min="16" max="16"/>
    <col width="22" customWidth="1" min="17" max="17"/>
    <col width="60" customWidth="1" min="18" max="18"/>
  </cols>
  <sheetData>
    <row r="1" ht="20" customHeight="1">
      <c r="A1" s="3" t="inlineStr">
        <is>
          <t>Master SKU List — shroomé</t>
        </is>
      </c>
      <c r="O1" s="33" t="n"/>
      <c r="P1" s="33" t="n"/>
    </row>
    <row r="2">
      <c r="A2" s="2" t="inlineStr">
        <is>
          <t>Launch: Vanilla + Strawberry (12 sachets/box). Yellow cells need your input.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31.5" customHeight="1">
      <c r="A4" s="16" t="inlineStr">
        <is>
          <t>SKU</t>
        </is>
      </c>
      <c r="B4" s="16" t="inlineStr">
        <is>
          <t>Product Name</t>
        </is>
      </c>
      <c r="C4" s="16" t="inlineStr">
        <is>
          <t>Category</t>
        </is>
      </c>
      <c r="D4" s="16" t="inlineStr">
        <is>
          <t>Flavor</t>
        </is>
      </c>
      <c r="E4" s="16" t="inlineStr">
        <is>
          <t>Pack Level</t>
        </is>
      </c>
      <c r="F4" s="16" t="inlineStr">
        <is>
          <t>Pack Qty</t>
        </is>
      </c>
      <c r="G4" s="16" t="inlineStr">
        <is>
          <t>UPC / GTIN-12</t>
        </is>
      </c>
      <c r="H4" s="16" t="inlineStr">
        <is>
          <t>Internal Barcode</t>
        </is>
      </c>
      <c r="I4" s="16" t="inlineStr">
        <is>
          <t>MSRP ($)</t>
        </is>
      </c>
      <c r="J4" s="16" t="inlineStr">
        <is>
          <t>Wholesale ($)</t>
        </is>
      </c>
      <c r="K4" s="16" t="inlineStr">
        <is>
          <t>Unit Cost ($)</t>
        </is>
      </c>
      <c r="L4" s="16" t="inlineStr">
        <is>
          <t>Weight (g)</t>
        </is>
      </c>
      <c r="M4" s="16" t="inlineStr">
        <is>
          <t>Status</t>
        </is>
      </c>
      <c r="N4" s="16" t="inlineStr">
        <is>
          <t>Notes</t>
        </is>
      </c>
      <c r="O4" s="34" t="inlineStr">
        <is>
          <t>GTIN-12 (UPC-A)</t>
        </is>
      </c>
      <c r="P4" s="34" t="inlineStr">
        <is>
          <t>GTIN-14 (ITF-14)</t>
        </is>
      </c>
      <c r="Q4" s="16" t="inlineStr">
        <is>
          <t>Net Content</t>
        </is>
      </c>
      <c r="R4" s="16" t="inlineStr">
        <is>
          <t>GS1 Product Description</t>
        </is>
      </c>
    </row>
    <row r="5" ht="31.5" customHeight="1">
      <c r="A5" s="17" t="inlineStr">
        <is>
          <t>SHR-SCH-VAN-01</t>
        </is>
      </c>
      <c r="B5" s="18" t="inlineStr">
        <is>
          <t>shroomé Vanilla — Single Sachet</t>
        </is>
      </c>
      <c r="C5" s="19" t="inlineStr">
        <is>
          <t>SCH</t>
        </is>
      </c>
      <c r="D5" s="19" t="inlineStr">
        <is>
          <t>VAN</t>
        </is>
      </c>
      <c r="E5" s="18" t="inlineStr">
        <is>
          <t>Each</t>
        </is>
      </c>
      <c r="F5" s="20" t="n">
        <v>1</v>
      </c>
      <c r="G5" s="21" t="n"/>
      <c r="H5" s="22" t="inlineStr">
        <is>
          <t>SHR-SCH-VAN-01</t>
        </is>
      </c>
      <c r="I5" s="23" t="n"/>
      <c r="J5" s="23" t="n"/>
      <c r="K5" s="23" t="n"/>
      <c r="L5" s="24" t="n"/>
      <c r="M5" s="25" t="inlineStr">
        <is>
          <t>Active</t>
        </is>
      </c>
      <c r="N5" s="26" t="inlineStr">
        <is>
          <t>Internal tracking only (not sold individually)</t>
        </is>
      </c>
      <c r="O5" s="32" t="inlineStr">
        <is>
          <t>860015741301</t>
        </is>
      </c>
      <c r="Q5" t="inlineStr">
        <is>
          <t>1 oz (28 g)</t>
        </is>
      </c>
      <c r="R5" s="17" t="inlineStr">
        <is>
          <t>Matcha Latte, Vanilla, Single Serve Sachet, 1 oz (28 g)</t>
        </is>
      </c>
    </row>
    <row r="6" ht="31.5" customHeight="1">
      <c r="A6" s="17" t="inlineStr">
        <is>
          <t>SHR-BOX-VAN-12</t>
        </is>
      </c>
      <c r="B6" s="18" t="inlineStr">
        <is>
          <t>shroomé Vanilla — Retail Box of 12</t>
        </is>
      </c>
      <c r="C6" s="19" t="inlineStr">
        <is>
          <t>BOX</t>
        </is>
      </c>
      <c r="D6" s="19" t="inlineStr">
        <is>
          <t>VAN</t>
        </is>
      </c>
      <c r="E6" s="18" t="inlineStr">
        <is>
          <t>Inner/Retail</t>
        </is>
      </c>
      <c r="F6" s="20" t="n">
        <v>12</v>
      </c>
      <c r="G6" s="21" t="n"/>
      <c r="H6" s="22" t="inlineStr">
        <is>
          <t>SHR-BOX-VAN-12</t>
        </is>
      </c>
      <c r="I6" s="23" t="n"/>
      <c r="J6" s="23" t="n"/>
      <c r="K6" s="23" t="n"/>
      <c r="L6" s="24" t="n"/>
      <c r="M6" s="25" t="inlineStr">
        <is>
          <t>Active</t>
        </is>
      </c>
      <c r="N6" s="26" t="inlineStr">
        <is>
          <t>Primary consumer SKU — this is what Shopify/Amazon sells</t>
        </is>
      </c>
      <c r="O6" s="32" t="inlineStr">
        <is>
          <t>860015741318</t>
        </is>
      </c>
      <c r="Q6" t="inlineStr">
        <is>
          <t>12 oz (336 g)</t>
        </is>
      </c>
      <c r="R6" s="17" t="inlineStr">
        <is>
          <t>Matcha Latte, Vanilla, Single Serve Sachets, 12-Count Box</t>
        </is>
      </c>
    </row>
    <row r="7" ht="31.5" customHeight="1">
      <c r="A7" s="17" t="inlineStr">
        <is>
          <t>SHR-TRY-VAN-24</t>
        </is>
      </c>
      <c r="B7" s="18" t="inlineStr">
        <is>
          <t>shroomé Vanilla — Master Case (24 boxes)</t>
        </is>
      </c>
      <c r="C7" s="19" t="inlineStr">
        <is>
          <t>TRY</t>
        </is>
      </c>
      <c r="D7" s="19" t="inlineStr">
        <is>
          <t>VAN</t>
        </is>
      </c>
      <c r="E7" s="18" t="inlineStr">
        <is>
          <t>Master Case</t>
        </is>
      </c>
      <c r="F7" s="20" t="n">
        <v>24</v>
      </c>
      <c r="G7" s="21" t="n"/>
      <c r="H7" s="22" t="inlineStr">
        <is>
          <t>SHR-TRY-VAN-24</t>
        </is>
      </c>
      <c r="I7" s="23" t="n"/>
      <c r="J7" s="23" t="n"/>
      <c r="K7" s="23" t="n"/>
      <c r="L7" s="24" t="n"/>
      <c r="M7" s="25" t="inlineStr">
        <is>
          <t>Active</t>
        </is>
      </c>
      <c r="N7" s="26" t="inlineStr">
        <is>
          <t>Confirm case pack with co-packer — placeholder at 24</t>
        </is>
      </c>
      <c r="P7" s="32" t="inlineStr">
        <is>
          <t>10860015741315</t>
        </is>
      </c>
      <c r="Q7" t="inlineStr">
        <is>
          <t>288 oz (8,064 g)</t>
        </is>
      </c>
      <c r="R7" s="17" t="inlineStr">
        <is>
          <t>Matcha Latte, Vanilla, 12-Count Box, Master Case of 24</t>
        </is>
      </c>
    </row>
    <row r="8" ht="31.5" customHeight="1">
      <c r="A8" s="17" t="inlineStr">
        <is>
          <t>SHR-PLT-VAN</t>
        </is>
      </c>
      <c r="B8" s="18" t="inlineStr">
        <is>
          <t>shroomé Vanilla — Pallet</t>
        </is>
      </c>
      <c r="C8" s="19" t="inlineStr">
        <is>
          <t>PLT</t>
        </is>
      </c>
      <c r="D8" s="19" t="inlineStr">
        <is>
          <t>VAN</t>
        </is>
      </c>
      <c r="E8" s="18" t="inlineStr">
        <is>
          <t>Pallet</t>
        </is>
      </c>
      <c r="F8" s="20" t="n"/>
      <c r="G8" s="21" t="n"/>
      <c r="H8" s="22" t="inlineStr">
        <is>
          <t>SHR-PLT-VAN</t>
        </is>
      </c>
      <c r="I8" s="23" t="n"/>
      <c r="J8" s="23" t="n"/>
      <c r="K8" s="23" t="n"/>
      <c r="L8" s="24" t="n"/>
      <c r="M8" s="25" t="inlineStr">
        <is>
          <t>Active</t>
        </is>
      </c>
      <c r="N8" s="26" t="inlineStr">
        <is>
          <t>Confirm tray count per pallet with freight/3PL</t>
        </is>
      </c>
    </row>
    <row r="9" ht="31.5" customHeight="1">
      <c r="A9" s="17" t="inlineStr">
        <is>
          <t>SHR-SCH-STR-01</t>
        </is>
      </c>
      <c r="B9" s="18" t="inlineStr">
        <is>
          <t>shroomé Strawberry — Single Sachet</t>
        </is>
      </c>
      <c r="C9" s="19" t="inlineStr">
        <is>
          <t>SCH</t>
        </is>
      </c>
      <c r="D9" s="19" t="inlineStr">
        <is>
          <t>STR</t>
        </is>
      </c>
      <c r="E9" s="18" t="inlineStr">
        <is>
          <t>Each</t>
        </is>
      </c>
      <c r="F9" s="20" t="n">
        <v>1</v>
      </c>
      <c r="G9" s="21" t="n"/>
      <c r="H9" s="22" t="inlineStr">
        <is>
          <t>SHR-SCH-STR-01</t>
        </is>
      </c>
      <c r="I9" s="23" t="n"/>
      <c r="J9" s="23" t="n"/>
      <c r="K9" s="23" t="n"/>
      <c r="L9" s="24" t="n"/>
      <c r="M9" s="25" t="inlineStr">
        <is>
          <t>Active</t>
        </is>
      </c>
      <c r="N9" s="26" t="inlineStr">
        <is>
          <t>Internal tracking only (not sold individually)</t>
        </is>
      </c>
      <c r="O9" s="32" t="inlineStr">
        <is>
          <t>860015741325</t>
        </is>
      </c>
      <c r="Q9" t="inlineStr">
        <is>
          <t>1 oz (28 g)</t>
        </is>
      </c>
      <c r="R9" s="17" t="inlineStr">
        <is>
          <t>Matcha Latte, Strawberry, Single Serve Sachet, 1 oz (28 g)</t>
        </is>
      </c>
    </row>
    <row r="10" ht="31.5" customHeight="1">
      <c r="A10" s="17" t="inlineStr">
        <is>
          <t>SHR-BOX-STR-12</t>
        </is>
      </c>
      <c r="B10" s="18" t="inlineStr">
        <is>
          <t>shroomé Strawberry — Retail Box of 12</t>
        </is>
      </c>
      <c r="C10" s="19" t="inlineStr">
        <is>
          <t>BOX</t>
        </is>
      </c>
      <c r="D10" s="19" t="inlineStr">
        <is>
          <t>STR</t>
        </is>
      </c>
      <c r="E10" s="18" t="inlineStr">
        <is>
          <t>Inner/Retail</t>
        </is>
      </c>
      <c r="F10" s="20" t="n">
        <v>12</v>
      </c>
      <c r="G10" s="21" t="n"/>
      <c r="H10" s="22" t="inlineStr">
        <is>
          <t>SHR-BOX-STR-12</t>
        </is>
      </c>
      <c r="I10" s="23" t="n"/>
      <c r="J10" s="23" t="n"/>
      <c r="K10" s="23" t="n"/>
      <c r="L10" s="24" t="n"/>
      <c r="M10" s="25" t="inlineStr">
        <is>
          <t>Active</t>
        </is>
      </c>
      <c r="N10" s="26" t="inlineStr">
        <is>
          <t>Primary consumer SKU</t>
        </is>
      </c>
      <c r="O10" s="32" t="inlineStr">
        <is>
          <t>860015741332</t>
        </is>
      </c>
      <c r="Q10" t="inlineStr">
        <is>
          <t>12 oz (336 g)</t>
        </is>
      </c>
      <c r="R10" s="17" t="inlineStr">
        <is>
          <t>Matcha Latte, Strawberry, Single Serve Sachets, 12-Count Box</t>
        </is>
      </c>
    </row>
    <row r="11" ht="31.5" customHeight="1">
      <c r="A11" s="17" t="inlineStr">
        <is>
          <t>SHR-TRY-STR-24</t>
        </is>
      </c>
      <c r="B11" s="18" t="inlineStr">
        <is>
          <t>shroomé Strawberry — Master Case (24 boxes)</t>
        </is>
      </c>
      <c r="C11" s="19" t="inlineStr">
        <is>
          <t>TRY</t>
        </is>
      </c>
      <c r="D11" s="19" t="inlineStr">
        <is>
          <t>STR</t>
        </is>
      </c>
      <c r="E11" s="18" t="inlineStr">
        <is>
          <t>Master Case</t>
        </is>
      </c>
      <c r="F11" s="20" t="n">
        <v>24</v>
      </c>
      <c r="G11" s="21" t="n"/>
      <c r="H11" s="22" t="inlineStr">
        <is>
          <t>SHR-TRY-STR-24</t>
        </is>
      </c>
      <c r="I11" s="23" t="n"/>
      <c r="J11" s="23" t="n"/>
      <c r="K11" s="23" t="n"/>
      <c r="L11" s="24" t="n"/>
      <c r="M11" s="25" t="inlineStr">
        <is>
          <t>Active</t>
        </is>
      </c>
      <c r="N11" s="26" t="inlineStr">
        <is>
          <t>Confirm case pack with co-packer — placeholder at 24</t>
        </is>
      </c>
      <c r="P11" s="32" t="inlineStr">
        <is>
          <t>10860015741339</t>
        </is>
      </c>
      <c r="Q11" t="inlineStr">
        <is>
          <t>288 oz (8,064 g)</t>
        </is>
      </c>
      <c r="R11" s="17" t="inlineStr">
        <is>
          <t>Matcha Latte, Strawberry, 12-Count Box, Master Case of 24</t>
        </is>
      </c>
    </row>
    <row r="12" ht="31.5" customHeight="1">
      <c r="A12" s="17" t="inlineStr">
        <is>
          <t>SHR-PLT-STR</t>
        </is>
      </c>
      <c r="B12" s="18" t="inlineStr">
        <is>
          <t>shroomé Strawberry — Pallet</t>
        </is>
      </c>
      <c r="C12" s="19" t="inlineStr">
        <is>
          <t>PLT</t>
        </is>
      </c>
      <c r="D12" s="19" t="inlineStr">
        <is>
          <t>STR</t>
        </is>
      </c>
      <c r="E12" s="18" t="inlineStr">
        <is>
          <t>Pallet</t>
        </is>
      </c>
      <c r="F12" s="20" t="n"/>
      <c r="G12" s="21" t="n"/>
      <c r="H12" s="22" t="inlineStr">
        <is>
          <t>SHR-PLT-STR</t>
        </is>
      </c>
      <c r="I12" s="23" t="n"/>
      <c r="J12" s="23" t="n"/>
      <c r="K12" s="23" t="n"/>
      <c r="L12" s="24" t="n"/>
      <c r="M12" s="25" t="inlineStr">
        <is>
          <t>Active</t>
        </is>
      </c>
      <c r="N12" s="26" t="inlineStr">
        <is>
          <t>Confirm tray count per pallet with freight/3PL</t>
        </is>
      </c>
    </row>
    <row r="13" ht="31.5" customHeight="1">
      <c r="A13" s="17" t="inlineStr">
        <is>
          <t>SHR-KCH-01</t>
        </is>
      </c>
      <c r="B13" s="18" t="inlineStr">
        <is>
          <t>shroomé Keychain — Single Unit</t>
        </is>
      </c>
      <c r="C13" s="19" t="inlineStr">
        <is>
          <t>KCH</t>
        </is>
      </c>
      <c r="D13" s="19" t="inlineStr">
        <is>
          <t>XXX</t>
        </is>
      </c>
      <c r="E13" s="18" t="inlineStr">
        <is>
          <t>Each</t>
        </is>
      </c>
      <c r="F13" s="20" t="n">
        <v>1</v>
      </c>
      <c r="G13" s="21" t="n"/>
      <c r="H13" s="22" t="inlineStr">
        <is>
          <t>SHR-KCH-01</t>
        </is>
      </c>
      <c r="I13" s="23" t="n"/>
      <c r="J13" s="23" t="n"/>
      <c r="K13" s="23" t="n"/>
      <c r="L13" s="24" t="n"/>
      <c r="M13" s="25" t="inlineStr">
        <is>
          <t>Active</t>
        </is>
      </c>
      <c r="N13" s="26" t="inlineStr">
        <is>
          <t>Merch — single keychain</t>
        </is>
      </c>
      <c r="O13" s="32" t="inlineStr">
        <is>
          <t>860015741349</t>
        </is>
      </c>
      <c r="R13" s="17" t="inlineStr">
        <is>
          <t>Keychain, Single Unit</t>
        </is>
      </c>
    </row>
    <row r="14" ht="31.5" customHeight="1">
      <c r="A14" s="17" t="inlineStr">
        <is>
          <t>SHR-KCH-BOX</t>
        </is>
      </c>
      <c r="B14" s="18" t="inlineStr">
        <is>
          <t>shroomé Keychain — Manufacturer Case</t>
        </is>
      </c>
      <c r="C14" s="19" t="inlineStr">
        <is>
          <t>KCH</t>
        </is>
      </c>
      <c r="D14" s="19" t="inlineStr">
        <is>
          <t>XXX</t>
        </is>
      </c>
      <c r="E14" s="18" t="inlineStr">
        <is>
          <t>Master Case</t>
        </is>
      </c>
      <c r="F14" s="20" t="n">
        <v>100</v>
      </c>
      <c r="G14" s="21" t="n"/>
      <c r="H14" s="22" t="inlineStr">
        <is>
          <t>SHR-KCH-BOX</t>
        </is>
      </c>
      <c r="I14" s="23" t="n"/>
      <c r="J14" s="23" t="n"/>
      <c r="K14" s="23" t="n"/>
      <c r="L14" s="24" t="n"/>
      <c r="M14" s="25" t="inlineStr">
        <is>
          <t>Active</t>
        </is>
      </c>
      <c r="N14" s="26" t="inlineStr">
        <is>
          <t>Manufacturer shipping case (100 pcs). Not retail display. Revisit qty 2026-04-27 (reminder set).</t>
        </is>
      </c>
      <c r="O14" s="32" t="inlineStr">
        <is>
          <t>860015741356</t>
        </is>
      </c>
      <c r="R14" s="17" t="inlineStr">
        <is>
          <t>Keychain, Manufacturer Case of 100</t>
        </is>
      </c>
    </row>
    <row r="15" ht="31.5" customHeight="1">
      <c r="A15" s="17" t="inlineStr">
        <is>
          <t>SHR-EYG-06</t>
        </is>
      </c>
      <c r="B15" s="18" t="inlineStr">
        <is>
          <t>shroomé Eye Gels — Box of 6</t>
        </is>
      </c>
      <c r="C15" s="19" t="inlineStr">
        <is>
          <t>EYG</t>
        </is>
      </c>
      <c r="D15" s="19" t="inlineStr">
        <is>
          <t>XXX</t>
        </is>
      </c>
      <c r="E15" s="18" t="inlineStr">
        <is>
          <t>Retail Box</t>
        </is>
      </c>
      <c r="F15" s="20" t="n">
        <v>6</v>
      </c>
      <c r="G15" s="21" t="n"/>
      <c r="H15" s="22" t="inlineStr">
        <is>
          <t>SHR-EYG-06</t>
        </is>
      </c>
      <c r="I15" s="23" t="n"/>
      <c r="J15" s="23" t="n"/>
      <c r="K15" s="23" t="n"/>
      <c r="L15" s="24" t="n"/>
      <c r="M15" s="25" t="inlineStr">
        <is>
          <t>Active</t>
        </is>
      </c>
      <c r="N15" s="26" t="inlineStr">
        <is>
          <t>Confirm pairs vs single patches — update SKU if 6 pairs</t>
        </is>
      </c>
      <c r="O15" s="32" t="inlineStr">
        <is>
          <t>860015741363</t>
        </is>
      </c>
      <c r="Q15" t="inlineStr">
        <is>
          <t>30 ml total (6 ct)</t>
        </is>
      </c>
      <c r="R15" s="17" t="inlineStr">
        <is>
          <t>Under-Eye Gel Patches, 6-Count Box, 30 ml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5" customWidth="1" min="1" max="1"/>
    <col width="16" customWidth="1" min="2" max="2"/>
    <col width="14" customWidth="1" min="3" max="3"/>
    <col width="11" customWidth="1" min="4" max="4"/>
    <col width="22" customWidth="1" min="5" max="5"/>
    <col width="38" customWidth="1" min="6" max="6"/>
  </cols>
  <sheetData>
    <row r="1" ht="20" customHeight="1">
      <c r="A1" s="3" t="inlineStr">
        <is>
          <t>SKU Generator</t>
        </is>
      </c>
    </row>
    <row r="2">
      <c r="A2" s="2" t="inlineStr">
        <is>
          <t>Fill the blue cells and the generator builds the SKU automatically.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16" t="inlineStr">
        <is>
          <t>#</t>
        </is>
      </c>
      <c r="B4" s="16" t="inlineStr">
        <is>
          <t>Category Code</t>
        </is>
      </c>
      <c r="C4" s="16" t="inlineStr">
        <is>
          <t>Flavor Code</t>
        </is>
      </c>
      <c r="D4" s="16" t="inlineStr">
        <is>
          <t>Pack Qty</t>
        </is>
      </c>
      <c r="E4" s="16" t="inlineStr">
        <is>
          <t>Generated SKU</t>
        </is>
      </c>
      <c r="F4" s="16" t="inlineStr">
        <is>
          <t>Product Name Hint</t>
        </is>
      </c>
    </row>
    <row r="5">
      <c r="A5" s="19" t="n">
        <v>1</v>
      </c>
      <c r="B5" s="27" t="inlineStr">
        <is>
          <t>SCH</t>
        </is>
      </c>
      <c r="C5" s="27" t="inlineStr">
        <is>
          <t>VAN</t>
        </is>
      </c>
      <c r="D5" s="27" t="n">
        <v>1</v>
      </c>
      <c r="E5" s="28">
        <f>IF(AND(B5="",C5="",D5=""),"","SHR-"&amp;B5&amp;"-"&amp;C5&amp;IF(ISBLANK(D5),"","-"&amp;TEXT(D5,"00")))</f>
        <v/>
      </c>
      <c r="F5" s="29">
        <f>IF(B5="","",IFERROR(INDEX('Code Reference'!$A$3:$A$9,MATCH(B5,'Code Reference'!$B$3:$B$9,0)),"?")&amp;" / "&amp;IFERROR(INDEX('Code Reference'!$A$14:$A$21,MATCH(C5,'Code Reference'!$B$14:$B$21,0)),"?"))</f>
        <v/>
      </c>
    </row>
    <row r="6">
      <c r="A6" s="19" t="n">
        <v>2</v>
      </c>
      <c r="B6" s="27" t="inlineStr">
        <is>
          <t>BOX</t>
        </is>
      </c>
      <c r="C6" s="27" t="inlineStr">
        <is>
          <t>VAN</t>
        </is>
      </c>
      <c r="D6" s="27" t="n">
        <v>12</v>
      </c>
      <c r="E6" s="28">
        <f>IF(AND(B6="",C6="",D6=""),"","SHR-"&amp;B6&amp;"-"&amp;C6&amp;IF(ISBLANK(D6),"","-"&amp;TEXT(D6,"00")))</f>
        <v/>
      </c>
      <c r="F6" s="29">
        <f>IF(B6="","",IFERROR(INDEX('Code Reference'!$A$3:$A$9,MATCH(B6,'Code Reference'!$B$3:$B$9,0)),"?")&amp;" / "&amp;IFERROR(INDEX('Code Reference'!$A$14:$A$21,MATCH(C6,'Code Reference'!$B$14:$B$21,0)),"?"))</f>
        <v/>
      </c>
    </row>
    <row r="7">
      <c r="A7" s="19" t="n">
        <v>3</v>
      </c>
      <c r="B7" s="27" t="inlineStr">
        <is>
          <t>TRY</t>
        </is>
      </c>
      <c r="C7" s="27" t="inlineStr">
        <is>
          <t>VAN</t>
        </is>
      </c>
      <c r="D7" s="27" t="n">
        <v>24</v>
      </c>
      <c r="E7" s="28">
        <f>IF(AND(B7="",C7="",D7=""),"","SHR-"&amp;B7&amp;"-"&amp;C7&amp;IF(ISBLANK(D7),"","-"&amp;TEXT(D7,"00")))</f>
        <v/>
      </c>
      <c r="F7" s="29">
        <f>IF(B7="","",IFERROR(INDEX('Code Reference'!$A$3:$A$9,MATCH(B7,'Code Reference'!$B$3:$B$9,0)),"?")&amp;" / "&amp;IFERROR(INDEX('Code Reference'!$A$14:$A$21,MATCH(C7,'Code Reference'!$B$14:$B$21,0)),"?"))</f>
        <v/>
      </c>
    </row>
    <row r="8">
      <c r="A8" s="19" t="n">
        <v>4</v>
      </c>
      <c r="B8" s="27" t="inlineStr">
        <is>
          <t>PLT</t>
        </is>
      </c>
      <c r="C8" s="27" t="inlineStr">
        <is>
          <t>VAN</t>
        </is>
      </c>
      <c r="D8" s="27" t="n"/>
      <c r="E8" s="28">
        <f>IF(AND(B8="",C8="",D8=""),"","SHR-"&amp;B8&amp;"-"&amp;C8&amp;IF(ISBLANK(D8),"","-"&amp;TEXT(D8,"00")))</f>
        <v/>
      </c>
      <c r="F8" s="29">
        <f>IF(B8="","",IFERROR(INDEX('Code Reference'!$A$3:$A$9,MATCH(B8,'Code Reference'!$B$3:$B$9,0)),"?")&amp;" / "&amp;IFERROR(INDEX('Code Reference'!$A$14:$A$21,MATCH(C8,'Code Reference'!$B$14:$B$21,0)),"?"))</f>
        <v/>
      </c>
    </row>
    <row r="9">
      <c r="A9" s="19" t="n">
        <v>5</v>
      </c>
      <c r="B9" s="27" t="inlineStr">
        <is>
          <t>SCH</t>
        </is>
      </c>
      <c r="C9" s="27" t="inlineStr">
        <is>
          <t>STR</t>
        </is>
      </c>
      <c r="D9" s="27" t="n">
        <v>1</v>
      </c>
      <c r="E9" s="28">
        <f>IF(AND(B9="",C9="",D9=""),"","SHR-"&amp;B9&amp;"-"&amp;C9&amp;IF(ISBLANK(D9),"","-"&amp;TEXT(D9,"00")))</f>
        <v/>
      </c>
      <c r="F9" s="29">
        <f>IF(B9="","",IFERROR(INDEX('Code Reference'!$A$3:$A$9,MATCH(B9,'Code Reference'!$B$3:$B$9,0)),"?")&amp;" / "&amp;IFERROR(INDEX('Code Reference'!$A$14:$A$21,MATCH(C9,'Code Reference'!$B$14:$B$21,0)),"?"))</f>
        <v/>
      </c>
    </row>
    <row r="10">
      <c r="A10" s="19" t="n">
        <v>6</v>
      </c>
      <c r="B10" s="27" t="inlineStr">
        <is>
          <t>BOX</t>
        </is>
      </c>
      <c r="C10" s="27" t="inlineStr">
        <is>
          <t>STR</t>
        </is>
      </c>
      <c r="D10" s="27" t="n">
        <v>12</v>
      </c>
      <c r="E10" s="28">
        <f>IF(AND(B10="",C10="",D10=""),"","SHR-"&amp;B10&amp;"-"&amp;C10&amp;IF(ISBLANK(D10),"","-"&amp;TEXT(D10,"00")))</f>
        <v/>
      </c>
      <c r="F10" s="29">
        <f>IF(B10="","",IFERROR(INDEX('Code Reference'!$A$3:$A$9,MATCH(B10,'Code Reference'!$B$3:$B$9,0)),"?")&amp;" / "&amp;IFERROR(INDEX('Code Reference'!$A$14:$A$21,MATCH(C10,'Code Reference'!$B$14:$B$21,0)),"?"))</f>
        <v/>
      </c>
    </row>
    <row r="11">
      <c r="A11" s="19" t="n">
        <v>7</v>
      </c>
      <c r="B11" s="27" t="inlineStr">
        <is>
          <t>TRY</t>
        </is>
      </c>
      <c r="C11" s="27" t="inlineStr">
        <is>
          <t>STR</t>
        </is>
      </c>
      <c r="D11" s="27" t="n">
        <v>24</v>
      </c>
      <c r="E11" s="28">
        <f>IF(AND(B11="",C11="",D11=""),"","SHR-"&amp;B11&amp;"-"&amp;C11&amp;IF(ISBLANK(D11),"","-"&amp;TEXT(D11,"00")))</f>
        <v/>
      </c>
      <c r="F11" s="29">
        <f>IF(B11="","",IFERROR(INDEX('Code Reference'!$A$3:$A$9,MATCH(B11,'Code Reference'!$B$3:$B$9,0)),"?")&amp;" / "&amp;IFERROR(INDEX('Code Reference'!$A$14:$A$21,MATCH(C11,'Code Reference'!$B$14:$B$21,0)),"?"))</f>
        <v/>
      </c>
    </row>
    <row r="12">
      <c r="A12" s="19" t="n">
        <v>8</v>
      </c>
      <c r="B12" s="27" t="inlineStr">
        <is>
          <t>PLT</t>
        </is>
      </c>
      <c r="C12" s="27" t="inlineStr">
        <is>
          <t>STR</t>
        </is>
      </c>
      <c r="D12" s="27" t="n"/>
      <c r="E12" s="28">
        <f>IF(AND(B12="",C12="",D12=""),"","SHR-"&amp;B12&amp;"-"&amp;C12&amp;IF(ISBLANK(D12),"","-"&amp;TEXT(D12,"00")))</f>
        <v/>
      </c>
      <c r="F12" s="29">
        <f>IF(B12="","",IFERROR(INDEX('Code Reference'!$A$3:$A$9,MATCH(B12,'Code Reference'!$B$3:$B$9,0)),"?")&amp;" / "&amp;IFERROR(INDEX('Code Reference'!$A$14:$A$21,MATCH(C12,'Code Reference'!$B$14:$B$21,0)),"?"))</f>
        <v/>
      </c>
    </row>
    <row r="13">
      <c r="A13" s="19" t="n">
        <v>9</v>
      </c>
      <c r="B13" s="27" t="inlineStr">
        <is>
          <t>KCH</t>
        </is>
      </c>
      <c r="C13" s="27" t="inlineStr">
        <is>
          <t>XXX</t>
        </is>
      </c>
      <c r="D13" s="27" t="n">
        <v>1</v>
      </c>
      <c r="E13" s="28">
        <f>IF(AND(B13="",C13="",D13=""),"","SHR-"&amp;B13&amp;"-"&amp;C13&amp;IF(ISBLANK(D13),"","-"&amp;TEXT(D13,"00")))</f>
        <v/>
      </c>
      <c r="F13" s="29">
        <f>IF(B13="","",IFERROR(INDEX('Code Reference'!$A$3:$A$9,MATCH(B13,'Code Reference'!$B$3:$B$9,0)),"?")&amp;" / "&amp;IFERROR(INDEX('Code Reference'!$A$14:$A$21,MATCH(C13,'Code Reference'!$B$14:$B$21,0)),"?"))</f>
        <v/>
      </c>
    </row>
    <row r="14">
      <c r="A14" s="19" t="n">
        <v>10</v>
      </c>
      <c r="B14" s="27" t="inlineStr">
        <is>
          <t>KCH</t>
        </is>
      </c>
      <c r="C14" s="27" t="inlineStr">
        <is>
          <t>XXX</t>
        </is>
      </c>
      <c r="D14" s="27" t="n"/>
      <c r="E14" s="28">
        <f>IF(AND(B14="",C14="",D14=""),"","SHR-"&amp;B14&amp;"-"&amp;C14&amp;IF(ISBLANK(D14),"","-"&amp;TEXT(D14,"00")))</f>
        <v/>
      </c>
      <c r="F14" s="29">
        <f>IF(B14="","",IFERROR(INDEX('Code Reference'!$A$3:$A$9,MATCH(B14,'Code Reference'!$B$3:$B$9,0)),"?")&amp;" / "&amp;IFERROR(INDEX('Code Reference'!$A$14:$A$21,MATCH(C14,'Code Reference'!$B$14:$B$21,0)),"?"))</f>
        <v/>
      </c>
    </row>
    <row r="15">
      <c r="A15" s="19" t="n">
        <v>11</v>
      </c>
      <c r="B15" s="27" t="inlineStr">
        <is>
          <t>EYG</t>
        </is>
      </c>
      <c r="C15" s="27" t="inlineStr">
        <is>
          <t>XXX</t>
        </is>
      </c>
      <c r="D15" s="27" t="n">
        <v>6</v>
      </c>
      <c r="E15" s="28">
        <f>IF(AND(B15="",C15="",D15=""),"","SHR-"&amp;B15&amp;"-"&amp;C15&amp;IF(ISBLANK(D15),"","-"&amp;TEXT(D15,"00")))</f>
        <v/>
      </c>
      <c r="F15" s="29">
        <f>IF(B15="","",IFERROR(INDEX('Code Reference'!$A$3:$A$9,MATCH(B15,'Code Reference'!$B$3:$B$9,0)),"?")&amp;" / "&amp;IFERROR(INDEX('Code Reference'!$A$14:$A$21,MATCH(C15,'Code Reference'!$B$14:$B$21,0)),"?"))</f>
        <v/>
      </c>
    </row>
    <row r="16">
      <c r="A16" s="19" t="n">
        <v>12</v>
      </c>
      <c r="B16" s="27" t="n"/>
      <c r="C16" s="27" t="n"/>
      <c r="D16" s="27" t="n"/>
      <c r="E16" s="28">
        <f>IF(AND(B16="",C16="",D16=""),"","SHR-"&amp;B16&amp;"-"&amp;C16&amp;IF(ISBLANK(D16),"","-"&amp;TEXT(D16,"00")))</f>
        <v/>
      </c>
      <c r="F16" s="29">
        <f>IF(B16="","",IFERROR(INDEX('Code Reference'!$A$3:$A$9,MATCH(B16,'Code Reference'!$B$3:$B$9,0)),"?")&amp;" / "&amp;IFERROR(INDEX('Code Reference'!$A$14:$A$21,MATCH(C16,'Code Reference'!$B$14:$B$21,0)),"?"))</f>
        <v/>
      </c>
    </row>
    <row r="17">
      <c r="A17" s="19" t="n">
        <v>13</v>
      </c>
      <c r="B17" s="27" t="n"/>
      <c r="C17" s="27" t="n"/>
      <c r="D17" s="27" t="n"/>
      <c r="E17" s="28">
        <f>IF(AND(B17="",C17="",D17=""),"","SHR-"&amp;B17&amp;"-"&amp;C17&amp;IF(ISBLANK(D17),"","-"&amp;TEXT(D17,"00")))</f>
        <v/>
      </c>
      <c r="F17" s="29">
        <f>IF(B17="","",IFERROR(INDEX('Code Reference'!$A$3:$A$9,MATCH(B17,'Code Reference'!$B$3:$B$9,0)),"?")&amp;" / "&amp;IFERROR(INDEX('Code Reference'!$A$14:$A$21,MATCH(C17,'Code Reference'!$B$14:$B$21,0)),"?"))</f>
        <v/>
      </c>
    </row>
    <row r="18">
      <c r="A18" s="19" t="n">
        <v>14</v>
      </c>
      <c r="B18" s="27" t="n"/>
      <c r="C18" s="27" t="n"/>
      <c r="D18" s="27" t="n"/>
      <c r="E18" s="28">
        <f>IF(AND(B18="",C18="",D18=""),"","SHR-"&amp;B18&amp;"-"&amp;C18&amp;IF(ISBLANK(D18),"","-"&amp;TEXT(D18,"00")))</f>
        <v/>
      </c>
      <c r="F18" s="29">
        <f>IF(B18="","",IFERROR(INDEX('Code Reference'!$A$3:$A$9,MATCH(B18,'Code Reference'!$B$3:$B$9,0)),"?")&amp;" / "&amp;IFERROR(INDEX('Code Reference'!$A$14:$A$21,MATCH(C18,'Code Reference'!$B$14:$B$21,0)),"?"))</f>
        <v/>
      </c>
    </row>
    <row r="19">
      <c r="A19" s="19" t="n">
        <v>15</v>
      </c>
      <c r="B19" s="27" t="n"/>
      <c r="C19" s="27" t="n"/>
      <c r="D19" s="27" t="n"/>
      <c r="E19" s="28">
        <f>IF(AND(B19="",C19="",D19=""),"","SHR-"&amp;B19&amp;"-"&amp;C19&amp;IF(ISBLANK(D19),"","-"&amp;TEXT(D19,"00")))</f>
        <v/>
      </c>
      <c r="F19" s="29">
        <f>IF(B19="","",IFERROR(INDEX('Code Reference'!$A$3:$A$9,MATCH(B19,'Code Reference'!$B$3:$B$9,0)),"?")&amp;" / "&amp;IFERROR(INDEX('Code Reference'!$A$14:$A$21,MATCH(C19,'Code Reference'!$B$14:$B$21,0)),"?"))</f>
        <v/>
      </c>
    </row>
  </sheetData>
  <mergeCells count="2">
    <mergeCell ref="A2:F2"/>
    <mergeCell ref="A1:F1"/>
  </mergeCells>
  <dataValidations count="2">
    <dataValidation sqref="B5:B19" showDropDown="0" showInputMessage="0" showErrorMessage="0" allowBlank="1" type="list">
      <formula1>"SCH,BOX,TRY,PLT,KCH,EYG,MRC"</formula1>
      <formula2>0</formula2>
    </dataValidation>
    <dataValidation sqref="C5:C19" showDropDown="0" showInputMessage="0" showErrorMessage="0" allowBlank="1" type="list">
      <formula1>"VAN,STR,MNG,BRY,CHO,LMN,MCH,XXX"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zoomScaleNormal="100" workbookViewId="0">
      <selection activeCell="A1" sqref="A1"/>
    </sheetView>
  </sheetViews>
  <sheetFormatPr baseColWidth="10" defaultColWidth="8.6640625" defaultRowHeight="15"/>
  <cols>
    <col width="38" customWidth="1" min="1" max="1"/>
    <col width="95" customWidth="1" min="2" max="2"/>
    <col width="6" customWidth="1" min="3" max="3"/>
  </cols>
  <sheetData>
    <row r="1" ht="20" customHeight="1">
      <c r="A1" s="3" t="inlineStr">
        <is>
          <t>Making Your SKUs Scannable</t>
        </is>
      </c>
    </row>
    <row r="2" ht="17" customHeight="1">
      <c r="A2" s="1" t="inlineStr">
        <is>
          <t>READ THIS FIRST — SKUs ≠ Barcodes</t>
        </is>
      </c>
    </row>
    <row r="3">
      <c r="A3" s="7" t="n"/>
      <c r="B3" s="7" t="n"/>
      <c r="C3" s="7" t="n"/>
    </row>
    <row r="4">
      <c r="A4" s="7" t="n"/>
      <c r="B4" s="7" t="n"/>
      <c r="C4" s="7" t="n"/>
    </row>
    <row r="5" ht="16" customHeight="1">
      <c r="A5" s="10" t="inlineStr">
        <is>
          <t>KEY DISTINCTION</t>
        </is>
      </c>
    </row>
    <row r="6" ht="31.5" customHeight="1">
      <c r="A6" s="8" t="inlineStr">
        <is>
          <t>SKU</t>
        </is>
      </c>
      <c r="B6" s="30" t="inlineStr">
        <is>
          <t>Your internal product code (e.g., SHR-BOX-VAN-12). You control it. Used for inventory, accounting, internal reporting.</t>
        </is>
      </c>
      <c r="C6" s="7" t="n"/>
    </row>
    <row r="7" ht="45.75" customHeight="1">
      <c r="A7" s="8" t="inlineStr">
        <is>
          <t>UPC / GTIN</t>
        </is>
      </c>
      <c r="B7" s="30" t="inlineStr">
        <is>
          <t>Globally unique scannable barcode number (12 digits for UPC-A). REQUIRED to sell in retail stores, on Amazon, or anywhere a scanner needs to look up the product.</t>
        </is>
      </c>
      <c r="C7" s="7" t="n"/>
    </row>
    <row r="8">
      <c r="A8" s="7" t="n"/>
      <c r="B8" s="7" t="n"/>
      <c r="C8" s="7" t="n"/>
    </row>
    <row r="9" ht="16" customHeight="1">
      <c r="A9" s="10" t="inlineStr">
        <is>
          <t>IF YOU JUST NEED INTERNAL / WAREHOUSE SCANNING</t>
        </is>
      </c>
    </row>
    <row r="10" ht="45.75" customHeight="1">
      <c r="A10" s="8" t="inlineStr">
        <is>
          <t>Use a Code-128 barcode of your SKU</t>
        </is>
      </c>
      <c r="B10" s="30" t="inlineStr">
        <is>
          <t>Your SKU string (e.g., SHR-BOX-VAN-12) can be printed as a Code-128 barcode on labels. Any handheld scanner reads it. Free — no registration needed.</t>
        </is>
      </c>
      <c r="C10" s="7" t="n"/>
    </row>
    <row r="11" ht="45.75" customHeight="1">
      <c r="A11" s="8" t="inlineStr">
        <is>
          <t>Print from</t>
        </is>
      </c>
      <c r="B11" s="30" t="inlineStr">
        <is>
          <t>Shopify's built-in barcode print, Dymo LabelWriter, ZPL printers, or free generators like barcode.tec-it.com (paste the SKU, select Code-128, download PNG).</t>
        </is>
      </c>
      <c r="C11" s="7" t="n"/>
    </row>
    <row r="12" ht="31.5" customHeight="1">
      <c r="A12" s="8" t="inlineStr">
        <is>
          <t>Scanner → product info</t>
        </is>
      </c>
      <c r="B12" s="30" t="inlineStr">
        <is>
          <t>Scanner reads 'SHR-BOX-VAN-12' → your POS/WMS/Shopify looks up that SKU and returns product data.</t>
        </is>
      </c>
      <c r="C12" s="7" t="n"/>
    </row>
    <row r="13">
      <c r="A13" s="7" t="n"/>
      <c r="B13" s="7" t="n"/>
      <c r="C13" s="7" t="n"/>
    </row>
    <row r="14" ht="16" customHeight="1">
      <c r="A14" s="10" t="inlineStr">
        <is>
          <t>IF YOU NEED RETAIL-READY / AMAZON / WHOLESALE SCANNING</t>
        </is>
      </c>
    </row>
    <row r="15" ht="45.75" customHeight="1">
      <c r="A15" s="8" t="inlineStr">
        <is>
          <t>You MUST buy GS1 UPC numbers</t>
        </is>
      </c>
      <c r="B15" s="30" t="inlineStr">
        <is>
          <t>Go to https://www.gs1us.org → 'Get a Barcode' → GS1 US GTIN service. Costs ~$30 per UPC for small quantities, or ~$250 for a block of 10 that can fit your launch.</t>
        </is>
      </c>
      <c r="C15" s="7" t="n"/>
    </row>
    <row r="16" ht="45.75" customHeight="1">
      <c r="A16" s="8" t="inlineStr">
        <is>
          <t>Why GS1</t>
        </is>
      </c>
      <c r="B16" s="30" t="inlineStr">
        <is>
          <t>Amazon, Walmart, Target, Whole Foods etc. verify UPCs against the GS1 database and will reject resold/fake UPCs (they will delist your ASIN). GS1 is the only source considered legitimate.</t>
        </is>
      </c>
      <c r="C16" s="7" t="n"/>
    </row>
    <row r="17" ht="45.75" customHeight="1">
      <c r="A17" s="8" t="inlineStr">
        <is>
          <t>What to buy (minimum for launch)</t>
        </is>
      </c>
      <c r="B17" s="30" t="inlineStr">
        <is>
          <t>5 UPCs: (1) SHR-BOX-VAN-12, (2) SHR-BOX-STR-12, (3) SHR-KCH-01, (4) SHR-KCH-BOX, (5) SHR-EYG-06. Buy more if you also need case/pallet GTINs (GTIN-14) for distributors.</t>
        </is>
      </c>
      <c r="C17" s="7" t="n"/>
    </row>
    <row r="18" ht="31.5" customHeight="1">
      <c r="A18" s="8" t="inlineStr">
        <is>
          <t>Where to fill them in</t>
        </is>
      </c>
      <c r="B18" s="30" t="inlineStr">
        <is>
          <t>The yellow 'UPC / GTIN-12' column on the Master SKU List tab. Each UPC maps 1:1 to a SKU and never changes for that product.</t>
        </is>
      </c>
      <c r="C18" s="7" t="n"/>
    </row>
    <row r="19">
      <c r="A19" s="7" t="n"/>
      <c r="B19" s="7" t="n"/>
      <c r="C19" s="7" t="n"/>
    </row>
    <row r="20" ht="16" customHeight="1">
      <c r="A20" s="10" t="inlineStr">
        <is>
          <t>RECOMMENDED LAUNCH STACK</t>
        </is>
      </c>
    </row>
    <row r="21" ht="31.5" customHeight="1">
      <c r="A21" s="8" t="inlineStr">
        <is>
          <t>1. Shopify</t>
        </is>
      </c>
      <c r="B21" s="30" t="inlineStr">
        <is>
          <t>Acts as your product database. Create a product per flavor with a variant for each box SKU. Store SKU in SKU field, UPC in Barcode field.</t>
        </is>
      </c>
      <c r="C21" s="7" t="n"/>
    </row>
    <row r="22" ht="31.5" customHeight="1">
      <c r="A22" s="8" t="inlineStr">
        <is>
          <t>2. Shopify POS / 3PL / warehouse</t>
        </is>
      </c>
      <c r="B22" s="30" t="inlineStr">
        <is>
          <t>Uses Code-128 barcodes of the SKUs for internal picking and receiving. Print labels once per batch.</t>
        </is>
      </c>
      <c r="C22" s="7" t="n"/>
    </row>
    <row r="23" ht="31.5" customHeight="1">
      <c r="A23" s="8" t="inlineStr">
        <is>
          <t>3. Retail / Amazon / wholesale</t>
        </is>
      </c>
      <c r="B23" s="30" t="inlineStr">
        <is>
          <t>Uses the GS1 UPC on the outer retail box. Print UPC barcode directly on the box artwork.</t>
        </is>
      </c>
      <c r="C23" s="7" t="n"/>
    </row>
    <row r="24" ht="45.75" customHeight="1">
      <c r="A24" s="8" t="inlineStr">
        <is>
          <t>4. Master cases / pallets</t>
        </is>
      </c>
      <c r="B24" s="30" t="inlineStr">
        <is>
          <t>Use GTIN-14 (derived from your GTIN-12 via GS1 rules) printed as ITF-14 barcodes on the case. Required for distribution centers (UNFI, KeHE, etc.).</t>
        </is>
      </c>
      <c r="C24" s="7" t="n"/>
    </row>
    <row r="25">
      <c r="A25" s="7" t="n"/>
      <c r="B25" s="7" t="n"/>
      <c r="C25" s="7" t="n"/>
    </row>
    <row r="26" ht="16" customHeight="1">
      <c r="A26" s="10" t="inlineStr">
        <is>
          <t>QUICK ACTION LIST</t>
        </is>
      </c>
    </row>
    <row r="27" ht="31.5" customHeight="1">
      <c r="A27" s="8" t="inlineStr">
        <is>
          <t>✓ Now</t>
        </is>
      </c>
      <c r="B27" s="30" t="inlineStr">
        <is>
          <t>Print Code-128 labels from this sheet for your internal launch inventory.</t>
        </is>
      </c>
      <c r="C27" s="7" t="n"/>
    </row>
    <row r="28" ht="31.5" customHeight="1">
      <c r="A28" s="8" t="inlineStr">
        <is>
          <t>✓ Before retail/Amazon</t>
        </is>
      </c>
      <c r="B28" s="30" t="inlineStr">
        <is>
          <t>Buy 5–10 GS1 UPCs, paste into the UPC column, regenerate your retail box artwork.</t>
        </is>
      </c>
      <c r="C28" s="7" t="n"/>
    </row>
    <row r="29" ht="31.5" customHeight="1">
      <c r="A29" s="8" t="inlineStr">
        <is>
          <t>✓ Before wholesale</t>
        </is>
      </c>
      <c r="B29" s="30" t="inlineStr">
        <is>
          <t>Have GS1 issue GTIN-14s for master cases; add ITF-14 barcodes to case artwork.</t>
        </is>
      </c>
      <c r="C29" s="7" t="n"/>
    </row>
  </sheetData>
  <mergeCells count="7">
    <mergeCell ref="A5:C5"/>
    <mergeCell ref="A1:C1"/>
    <mergeCell ref="A14:C14"/>
    <mergeCell ref="A9:C9"/>
    <mergeCell ref="A26:C26"/>
    <mergeCell ref="A20:C20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2026-04-13T20:29:58Z</dcterms:created>
  <dcterms:modified xmlns:dcterms="http://purl.org/dc/terms/" xmlns:xsi="http://www.w3.org/2001/XMLSchema-instance" xsi:type="dcterms:W3CDTF">2026-04-13T21:34:01Z</dcterms:modified>
  <cp:lastModifiedBy>Zachary Kaufman</cp:lastModifiedBy>
  <cp:revision>0</cp:revision>
</cp:coreProperties>
</file>